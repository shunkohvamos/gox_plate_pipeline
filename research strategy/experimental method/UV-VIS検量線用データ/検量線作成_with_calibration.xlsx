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Sheet1" sheetId="1" state="visible" r:id="rId1"/>
    <sheet name="CalibrationCurve" sheetId="2" state="visible" r:id="rId2"/>
    <sheet name="QuickCalc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4" fillId="3" borderId="0" pivotButton="0" quotePrefix="0" xfId="0"/>
    <xf numFmtId="0" fontId="0" fillId="3" borderId="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Calibration Curve</a:t>
            </a:r>
          </a:p>
        </rich>
      </tx>
    </title>
    <plotArea>
      <scatterChart>
        <ser>
          <idx val="0"/>
          <order val="0"/>
          <tx>
            <v>Observed</v>
          </tx>
          <spPr>
            <a:ln>
              <a:noFill/>
              <a:prstDash val="solid"/>
            </a:ln>
          </spPr>
          <marker>
            <symbol val="circle"/>
            <size val="8"/>
            <spPr>
              <a:ln>
                <a:prstDash val="solid"/>
              </a:ln>
            </spPr>
          </marker>
          <xVal>
            <numRef>
              <f>'CalibrationCurve'!$A$6:$A$9</f>
            </numRef>
          </xVal>
          <yVal>
            <numRef>
              <f>'CalibrationCurve'!$B$6:$B$9</f>
            </numRef>
          </yVal>
        </ser>
        <ser>
          <idx val="1"/>
          <order val="1"/>
          <tx>
            <v>Linear fit</v>
          </tx>
          <spPr>
            <a:ln w="25000">
              <a:solidFill>
                <a:srgbClr val="1F4E78"/>
              </a:solidFill>
              <a:prstDash val="solid"/>
            </a:ln>
          </spPr>
          <xVal>
            <numRef>
              <f>'CalibrationCurve'!$N$6:$N$7</f>
            </numRef>
          </xVal>
          <yVal>
            <numRef>
              <f>'CalibrationCurve'!$O$6:$O$7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GOx concentration (mg/mL)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Absorbance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workbookViewId="0">
      <selection activeCell="D4" sqref="D4"/>
    </sheetView>
  </sheetViews>
  <sheetFormatPr baseColWidth="8" defaultRowHeight="18"/>
  <cols>
    <col width="20.3984375" customWidth="1" style="1" min="2" max="2"/>
  </cols>
  <sheetData>
    <row r="1">
      <c r="A1" s="0" t="inlineStr">
        <is>
          <t>GOx</t>
        </is>
      </c>
      <c r="B1" s="0" t="inlineStr">
        <is>
          <t>UV-VIS</t>
        </is>
      </c>
      <c r="C1" s="0" t="inlineStr">
        <is>
          <t>検量線</t>
        </is>
      </c>
      <c r="D1" s="0" t="n">
        <v>278.64</v>
      </c>
      <c r="E1" s="0" t="inlineStr">
        <is>
          <t>nm</t>
        </is>
      </c>
    </row>
    <row r="2"/>
    <row r="3">
      <c r="B3" s="0" t="inlineStr">
        <is>
          <t>Concentration (mg/mL)</t>
        </is>
      </c>
      <c r="C3" s="0" t="inlineStr">
        <is>
          <t>Absorbance(OD)</t>
        </is>
      </c>
    </row>
    <row r="4">
      <c r="B4" s="0" t="n">
        <v>0.5</v>
      </c>
      <c r="C4" s="0" t="n">
        <v>0.456813</v>
      </c>
    </row>
    <row r="5">
      <c r="B5" s="0" t="n">
        <v>1</v>
      </c>
      <c r="C5" s="0" t="n">
        <v>0.8080349999999999</v>
      </c>
    </row>
    <row r="6">
      <c r="B6" s="0" t="n">
        <v>1.5</v>
      </c>
      <c r="C6" s="0" t="n">
        <v>0.931629</v>
      </c>
    </row>
    <row r="7">
      <c r="B7" s="0" t="n">
        <v>2</v>
      </c>
      <c r="C7" s="0" t="n">
        <v>0.93688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style="1" min="1" max="1"/>
    <col width="28" customWidth="1" style="1" min="2" max="2"/>
    <col width="19" customWidth="1" style="1" min="3" max="3"/>
    <col width="31" customWidth="1" style="1" min="4" max="4"/>
    <col width="22" customWidth="1" style="1" min="5" max="5"/>
    <col width="12" customWidth="1" style="1" min="6" max="6"/>
    <col width="12" customWidth="1" style="1" min="7" max="7"/>
    <col width="12" customWidth="1" style="1" min="8" max="8"/>
    <col width="12" customWidth="1" style="1" min="9" max="9"/>
    <col width="12" customWidth="1" style="1" min="10" max="10"/>
    <col width="34" customWidth="1" style="1" min="11" max="11"/>
    <col width="42" customWidth="1" style="1" min="12" max="12"/>
  </cols>
  <sheetData>
    <row r="1">
      <c r="A1" s="2" t="inlineStr">
        <is>
          <t>GOx UV-Vis Calibration Curve</t>
        </is>
      </c>
    </row>
    <row r="2">
      <c r="A2" t="inlineStr">
        <is>
          <t>run_id</t>
        </is>
      </c>
      <c r="B2" t="inlineStr">
        <is>
          <t>uvvis_xlsx_20260213_205027</t>
        </is>
      </c>
    </row>
    <row r="3">
      <c r="A3" t="inlineStr">
        <is>
          <t>target_wavelength_nm</t>
        </is>
      </c>
      <c r="B3" t="n">
        <v>278.64</v>
      </c>
    </row>
    <row r="4">
      <c r="K4" s="3" t="inlineStr">
        <is>
          <t>Regression Stats (Use_For_Fit=1)</t>
        </is>
      </c>
    </row>
    <row r="5">
      <c r="A5" s="4" t="inlineStr">
        <is>
          <t>Concentration_mg_mL</t>
        </is>
      </c>
      <c r="B5" s="4" t="inlineStr">
        <is>
          <t>Absorbance</t>
        </is>
      </c>
      <c r="C5" s="4" t="inlineStr">
        <is>
          <t>Use_For_Fit (1/0)</t>
        </is>
      </c>
      <c r="D5" s="4" t="inlineStr">
        <is>
          <t>Fit_Abs</t>
        </is>
      </c>
      <c r="E5" s="4" t="inlineStr">
        <is>
          <t>Residual (Obs-Fit)</t>
        </is>
      </c>
      <c r="K5" s="3" t="inlineStr">
        <is>
          <t>N_used</t>
        </is>
      </c>
      <c r="L5" s="5">
        <f>SUM(C6:C9)</f>
        <v/>
      </c>
      <c r="N5" t="inlineStr">
        <is>
          <t>FitLine_X</t>
        </is>
      </c>
      <c r="O5" t="inlineStr">
        <is>
          <t>FitLine_Y</t>
        </is>
      </c>
    </row>
    <row r="6">
      <c r="A6" s="5" t="n">
        <v>0.5</v>
      </c>
      <c r="B6" s="5" t="n">
        <v>0.456813</v>
      </c>
      <c r="C6" s="6" t="n">
        <v>1</v>
      </c>
      <c r="D6" s="5">
        <f>IF(C6=1,$L$11*A6+$L$12,NA())</f>
        <v/>
      </c>
      <c r="E6" s="5">
        <f>IF(C6=1,B6-D6,NA())</f>
        <v/>
      </c>
      <c r="K6" s="3" t="inlineStr">
        <is>
          <t>Sum_x</t>
        </is>
      </c>
      <c r="L6" s="5">
        <f>SUMPRODUCT(A6:A9,C6:C9)</f>
        <v/>
      </c>
      <c r="N6">
        <f>MIN(A6:A9)</f>
        <v/>
      </c>
      <c r="O6">
        <f>IFERROR($L$11*N6+$L$12,NA())</f>
        <v/>
      </c>
    </row>
    <row r="7">
      <c r="A7" s="5" t="n">
        <v>1</v>
      </c>
      <c r="B7" s="5" t="n">
        <v>0.8080349999999999</v>
      </c>
      <c r="C7" s="6" t="n">
        <v>1</v>
      </c>
      <c r="D7" s="5">
        <f>IF(C7=1,$L$11*A7+$L$12,NA())</f>
        <v/>
      </c>
      <c r="E7" s="5">
        <f>IF(C7=1,B7-D7,NA())</f>
        <v/>
      </c>
      <c r="K7" s="3" t="inlineStr">
        <is>
          <t>Sum_y</t>
        </is>
      </c>
      <c r="L7" s="5">
        <f>SUMPRODUCT(B6:B9,C6:C9)</f>
        <v/>
      </c>
      <c r="N7">
        <f>MAX(A6:A9)</f>
        <v/>
      </c>
      <c r="O7">
        <f>IFERROR($L$11*N7+$L$12,NA())</f>
        <v/>
      </c>
    </row>
    <row r="8">
      <c r="A8" s="5" t="n">
        <v>1.5</v>
      </c>
      <c r="B8" s="5" t="n">
        <v>0.931629</v>
      </c>
      <c r="C8" s="6" t="n">
        <v>1</v>
      </c>
      <c r="D8" s="5">
        <f>IF(C8=1,$L$11*A8+$L$12,NA())</f>
        <v/>
      </c>
      <c r="E8" s="5">
        <f>IF(C8=1,B8-D8,NA())</f>
        <v/>
      </c>
      <c r="K8" s="3" t="inlineStr">
        <is>
          <t>Sum_xx</t>
        </is>
      </c>
      <c r="L8" s="5">
        <f>SUMPRODUCT(A6:A9,A6:A9,C6:C9)</f>
        <v/>
      </c>
    </row>
    <row r="9">
      <c r="A9" s="5" t="n">
        <v>2</v>
      </c>
      <c r="B9" s="5" t="n">
        <v>0.93688</v>
      </c>
      <c r="C9" s="6" t="n">
        <v>0</v>
      </c>
      <c r="D9" s="5">
        <f>IF(C9=1,$L$11*A9+$L$12,NA())</f>
        <v/>
      </c>
      <c r="E9" s="5">
        <f>IF(C9=1,B9-D9,NA())</f>
        <v/>
      </c>
      <c r="K9" s="3" t="inlineStr">
        <is>
          <t>Sum_yy</t>
        </is>
      </c>
      <c r="L9" s="5">
        <f>SUMPRODUCT(B6:B9,B6:B9,C6:C9)</f>
        <v/>
      </c>
    </row>
    <row r="10">
      <c r="K10" s="3" t="inlineStr">
        <is>
          <t>Sum_xy</t>
        </is>
      </c>
      <c r="L10" s="5">
        <f>SUMPRODUCT(A6:A9,B6:B9,C6:C9)</f>
        <v/>
      </c>
    </row>
    <row r="11">
      <c r="K11" s="3" t="inlineStr">
        <is>
          <t>Slope_abs_per_mg</t>
        </is>
      </c>
      <c r="L11" s="5">
        <f>IF(L5&lt;2,NA(),(L10-(L6*L7)/L5)/(L8-(L6^2)/L5))</f>
        <v/>
      </c>
    </row>
    <row r="12">
      <c r="K12" s="3" t="inlineStr">
        <is>
          <t>Intercept_abs</t>
        </is>
      </c>
      <c r="L12" s="5">
        <f>IF(L5&lt;2,NA(),(L7-L11*L6)/L5)</f>
        <v/>
      </c>
    </row>
    <row r="13">
      <c r="K13" s="3" t="inlineStr">
        <is>
          <t>R_squared</t>
        </is>
      </c>
      <c r="L13" s="5">
        <f>IF(OR(L5&lt;2,(L5*L8-L6^2)=0,(L5*L9-L7^2)=0),NA(),((L5*L10-L6*L7)^2)/((L5*L8-L6^2)*(L5*L9-L7^2)))</f>
        <v/>
      </c>
    </row>
    <row r="14">
      <c r="K14" s="3" t="inlineStr">
        <is>
          <t>Slope_mg_per_abs</t>
        </is>
      </c>
      <c r="L14" s="5">
        <f>IFERROR(1/L11,NA())</f>
        <v/>
      </c>
    </row>
    <row r="15">
      <c r="K15" s="3" t="inlineStr">
        <is>
          <t>Intercept_mg</t>
        </is>
      </c>
      <c r="L15" s="5">
        <f>IFERROR(-L12/L11,NA())</f>
        <v/>
      </c>
    </row>
    <row r="16"/>
    <row r="17"/>
    <row r="18"/>
    <row r="19"/>
    <row r="20"/>
    <row r="21"/>
    <row r="22"/>
    <row r="23"/>
    <row r="24"/>
    <row r="25"/>
    <row r="26"/>
    <row r="27"/>
    <row r="28">
      <c r="A28" s="3" t="inlineStr">
        <is>
          <t>Note</t>
        </is>
      </c>
    </row>
    <row r="29">
      <c r="A29" s="5" t="inlineStr">
        <is>
          <t>You can switch each point on/off via Use_For_Fit and the fit/QuickCalc update automatically.</t>
        </is>
      </c>
    </row>
    <row r="30">
      <c r="A30" s="5" t="inlineStr">
        <is>
          <t>Highest concentration may be excluded by default when saturation-like behavior is detected.</t>
        </is>
      </c>
    </row>
  </sheetData>
  <dataValidations count="1">
    <dataValidation sqref="C6:C9" showDropDown="0" showInputMessage="0" showErrorMessage="0" allowBlank="0" type="list">
      <formula1>"0,1"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2" customWidth="1" style="1" min="1" max="1"/>
    <col width="42" customWidth="1" style="1" min="2" max="2"/>
  </cols>
  <sheetData>
    <row r="1">
      <c r="A1" s="2" t="inlineStr">
        <is>
          <t>GOx Concentration Quick Calculator</t>
        </is>
      </c>
    </row>
    <row r="2">
      <c r="A2" s="5" t="inlineStr">
        <is>
          <t>Input: measured absorbance</t>
        </is>
      </c>
    </row>
    <row r="3">
      <c r="A3" s="5" t="inlineStr">
        <is>
          <t>Measured Abs</t>
        </is>
      </c>
      <c r="B3" s="7" t="n"/>
    </row>
    <row r="4">
      <c r="A4" s="5" t="inlineStr">
        <is>
          <t>Estimated GOx concentration (mg/mL)</t>
        </is>
      </c>
      <c r="B4" s="5">
        <f>IF(B3="","",(B3-CalibrationCurve!$L$12)/CalibrationCurve!$L$11)</f>
        <v/>
      </c>
    </row>
    <row r="5">
      <c r="A5" s="5" t="inlineStr">
        <is>
          <t>Target concentration (mg/mL)</t>
        </is>
      </c>
      <c r="B5" s="6" t="n">
        <v>1</v>
      </c>
    </row>
    <row r="6">
      <c r="A6" s="5" t="inlineStr">
        <is>
          <t>Dilution factor (stock/target)</t>
        </is>
      </c>
      <c r="B6" s="5">
        <f>IF(OR(B4="",B5="",B5=0),"",B4/B5)</f>
        <v/>
      </c>
    </row>
    <row r="7">
      <c r="A7" s="5" t="inlineStr">
        <is>
          <t>Desired final volume (uL)</t>
        </is>
      </c>
      <c r="B7" s="6" t="n">
        <v>1000</v>
      </c>
    </row>
    <row r="8">
      <c r="A8" s="5" t="inlineStr">
        <is>
          <t>Stock volume to pipette (uL)</t>
        </is>
      </c>
      <c r="B8" s="5">
        <f>IF(OR(B6="",B6=0,B7=""),"",B7/B6)</f>
        <v/>
      </c>
    </row>
    <row r="9">
      <c r="A9" s="5" t="inlineStr">
        <is>
          <t>Buffer volume to add (uL)</t>
        </is>
      </c>
      <c r="B9" s="5">
        <f>IF(OR(B7="",B8=""),"",B7-B8)</f>
        <v/>
      </c>
    </row>
    <row r="10">
      <c r="A10" s="5" t="inlineStr"/>
    </row>
    <row r="11">
      <c r="A11" s="5" t="inlineStr">
        <is>
          <t>Optional absorbance-normalization mode</t>
        </is>
      </c>
    </row>
    <row r="12">
      <c r="A12" s="5" t="inlineStr">
        <is>
          <t>Target Abs</t>
        </is>
      </c>
      <c r="B12" s="6" t="n">
        <v>0.3</v>
      </c>
    </row>
    <row r="13">
      <c r="A13" s="5" t="inlineStr">
        <is>
          <t>Volume correction factor (measured/target)</t>
        </is>
      </c>
      <c r="B13" s="5">
        <f>IF(OR(B3="",B12="",B12=0),"",B3/B12)</f>
        <v/>
      </c>
    </row>
    <row r="14">
      <c r="A14" s="5" t="inlineStr"/>
    </row>
    <row r="15">
      <c r="A15" s="3" t="inlineStr">
        <is>
          <t>Current fit summary</t>
        </is>
      </c>
    </row>
    <row r="16">
      <c r="A16" s="5" t="inlineStr">
        <is>
          <t>Slope_abs_per_mg</t>
        </is>
      </c>
      <c r="B16" s="5">
        <f>CalibrationCurve!$L$11</f>
        <v/>
      </c>
    </row>
    <row r="17">
      <c r="A17" s="5" t="inlineStr">
        <is>
          <t>Intercept_abs</t>
        </is>
      </c>
      <c r="B17" s="5">
        <f>CalibrationCurve!$L$12</f>
        <v/>
      </c>
    </row>
    <row r="18">
      <c r="A18" s="5" t="inlineStr">
        <is>
          <t>R_squared</t>
        </is>
      </c>
      <c r="B18" s="5">
        <f>CalibrationCurve!$L$13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須藤　駿哉</dc:creator>
  <dcterms:created xsi:type="dcterms:W3CDTF">2026-02-13T11:42:29Z</dcterms:created>
  <dcterms:modified xsi:type="dcterms:W3CDTF">2026-02-13T11:50:27Z</dcterms:modified>
  <cp:lastModifiedBy>須藤　駿哉</cp:lastModifiedBy>
</cp:coreProperties>
</file>