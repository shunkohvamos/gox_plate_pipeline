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xuten\Documents\高井研\実験with山下さん\実験方法と実験記録\"/>
    </mc:Choice>
  </mc:AlternateContent>
  <xr:revisionPtr revIDLastSave="0" documentId="13_ncr:1_{604CB83C-DB60-46C2-A6F2-67F29DC01879}" xr6:coauthVersionLast="47" xr6:coauthVersionMax="47" xr10:uidLastSave="{00000000-0000-0000-0000-000000000000}"/>
  <bookViews>
    <workbookView xWindow="-108" yWindow="-108" windowWidth="23256" windowHeight="13896" xr2:uid="{3A6EAEB6-D680-4E7C-BF85-C84EA6EAB4AB}"/>
  </bookViews>
  <sheets>
    <sheet name="26213_ポリマー濃度_chain400" sheetId="46" r:id="rId1"/>
  </sheets>
  <definedNames>
    <definedName name="基本" localSheetId="0">'26213_ポリマー濃度_chain400'!$B$3:$B$6</definedName>
    <definedName name="基本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6" i="46" l="1"/>
  <c r="B77" i="46"/>
  <c r="C80" i="46" s="1"/>
  <c r="E80" i="46" s="1"/>
  <c r="B75" i="46"/>
  <c r="F74" i="46"/>
  <c r="O58" i="46"/>
  <c r="M58" i="46"/>
  <c r="N55" i="46"/>
  <c r="B55" i="46"/>
  <c r="O54" i="46"/>
  <c r="N54" i="46"/>
  <c r="M54" i="46"/>
  <c r="L54" i="46"/>
  <c r="K54" i="46"/>
  <c r="W48" i="46"/>
  <c r="L48" i="46"/>
  <c r="W47" i="46"/>
  <c r="W46" i="46"/>
  <c r="W45" i="46"/>
  <c r="W44" i="46"/>
  <c r="O44" i="46"/>
  <c r="O43" i="46" s="1"/>
  <c r="E44" i="46"/>
  <c r="B44" i="46"/>
  <c r="W43" i="46"/>
  <c r="L43" i="46"/>
  <c r="I43" i="46"/>
  <c r="H43" i="46"/>
  <c r="W42" i="46"/>
  <c r="L42" i="46"/>
  <c r="I42" i="46"/>
  <c r="W41" i="46"/>
  <c r="H41" i="46"/>
  <c r="W40" i="46"/>
  <c r="W39" i="46"/>
  <c r="H39" i="46"/>
  <c r="W38" i="46"/>
  <c r="H38" i="46"/>
  <c r="W37" i="46"/>
  <c r="O37" i="46"/>
  <c r="L37" i="46"/>
  <c r="L36" i="46" s="1"/>
  <c r="K37" i="46"/>
  <c r="I37" i="46"/>
  <c r="F37" i="46"/>
  <c r="F36" i="46" s="1"/>
  <c r="B40" i="46" s="1"/>
  <c r="E37" i="46"/>
  <c r="W36" i="46"/>
  <c r="O36" i="46"/>
  <c r="H36" i="46"/>
  <c r="O35" i="46"/>
  <c r="F35" i="46"/>
  <c r="B35" i="46"/>
  <c r="G28" i="46"/>
  <c r="H28" i="46" s="1"/>
  <c r="F28" i="46"/>
  <c r="H27" i="46"/>
  <c r="K27" i="46" s="1"/>
  <c r="G27" i="46"/>
  <c r="F27" i="46"/>
  <c r="G26" i="46"/>
  <c r="H26" i="46" s="1"/>
  <c r="F26" i="46"/>
  <c r="H25" i="46"/>
  <c r="K25" i="46" s="1"/>
  <c r="G25" i="46"/>
  <c r="F25" i="46"/>
  <c r="G24" i="46"/>
  <c r="H24" i="46" s="1"/>
  <c r="F24" i="46"/>
  <c r="H23" i="46"/>
  <c r="K23" i="46" s="1"/>
  <c r="G23" i="46"/>
  <c r="F23" i="46"/>
  <c r="G22" i="46"/>
  <c r="H22" i="46" s="1"/>
  <c r="F22" i="46"/>
  <c r="H21" i="46"/>
  <c r="K21" i="46" s="1"/>
  <c r="G21" i="46"/>
  <c r="F21" i="46"/>
  <c r="G20" i="46"/>
  <c r="H20" i="46" s="1"/>
  <c r="F20" i="46"/>
  <c r="H19" i="46"/>
  <c r="K19" i="46" s="1"/>
  <c r="G19" i="46"/>
  <c r="F19" i="46"/>
  <c r="G18" i="46"/>
  <c r="H18" i="46" s="1"/>
  <c r="F18" i="46"/>
  <c r="H17" i="46"/>
  <c r="K17" i="46" s="1"/>
  <c r="G17" i="46"/>
  <c r="F17" i="46"/>
  <c r="G16" i="46"/>
  <c r="H16" i="46" s="1"/>
  <c r="F16" i="46"/>
  <c r="H8" i="46"/>
  <c r="E8" i="46"/>
  <c r="B8" i="46"/>
  <c r="H7" i="46"/>
  <c r="O38" i="46" s="1"/>
  <c r="E7" i="46"/>
  <c r="H6" i="46"/>
  <c r="B6" i="46"/>
  <c r="E4" i="46"/>
  <c r="O41" i="46" l="1"/>
  <c r="O39" i="46" s="1"/>
  <c r="L40" i="46" s="1"/>
  <c r="I40" i="46" s="1"/>
  <c r="F44" i="46" s="1"/>
  <c r="F45" i="46" s="1"/>
  <c r="L39" i="46"/>
  <c r="K26" i="46"/>
  <c r="J26" i="46"/>
  <c r="I26" i="46"/>
  <c r="I24" i="46"/>
  <c r="K24" i="46"/>
  <c r="J24" i="46"/>
  <c r="J16" i="46"/>
  <c r="I16" i="46"/>
  <c r="K16" i="46"/>
  <c r="K20" i="46"/>
  <c r="I20" i="46"/>
  <c r="J20" i="46"/>
  <c r="K22" i="46"/>
  <c r="J22" i="46"/>
  <c r="I22" i="46"/>
  <c r="J18" i="46"/>
  <c r="K18" i="46"/>
  <c r="I18" i="46"/>
  <c r="I36" i="46"/>
  <c r="L38" i="46"/>
  <c r="I38" i="46" s="1"/>
  <c r="I28" i="46"/>
  <c r="K28" i="46"/>
  <c r="J28" i="46"/>
  <c r="I17" i="46"/>
  <c r="I19" i="46"/>
  <c r="I21" i="46"/>
  <c r="I23" i="46"/>
  <c r="I25" i="46"/>
  <c r="I27" i="46"/>
  <c r="J17" i="46"/>
  <c r="J19" i="46"/>
  <c r="J21" i="46"/>
  <c r="J23" i="46"/>
  <c r="J25" i="46"/>
  <c r="J27" i="46"/>
  <c r="L41" i="46" l="1"/>
  <c r="I41" i="46" s="1"/>
  <c r="I39" i="46"/>
  <c r="F43" i="46" l="1"/>
  <c r="I45" i="46"/>
  <c r="S34" i="46" l="1"/>
  <c r="F46" i="46"/>
  <c r="T43" i="46" l="1"/>
  <c r="V43" i="46" s="1"/>
  <c r="T41" i="46"/>
  <c r="V41" i="46" s="1"/>
  <c r="T36" i="46"/>
  <c r="V36" i="46" s="1"/>
  <c r="T39" i="46"/>
  <c r="V39" i="46" s="1"/>
  <c r="T45" i="46"/>
  <c r="V45" i="46" s="1"/>
  <c r="T48" i="46"/>
  <c r="V48" i="46" s="1"/>
  <c r="T37" i="46"/>
  <c r="V37" i="46" s="1"/>
  <c r="T47" i="46"/>
  <c r="V47" i="46" s="1"/>
  <c r="T44" i="46"/>
  <c r="V44" i="46" s="1"/>
  <c r="T46" i="46"/>
  <c r="V46" i="46" s="1"/>
  <c r="T42" i="46"/>
  <c r="V42" i="46" s="1"/>
  <c r="T40" i="46"/>
  <c r="V40" i="46" s="1"/>
  <c r="T38" i="46"/>
  <c r="V38" i="46" s="1"/>
</calcChain>
</file>

<file path=xl/sharedStrings.xml><?xml version="1.0" encoding="utf-8"?>
<sst xmlns="http://schemas.openxmlformats.org/spreadsheetml/2006/main" count="211" uniqueCount="161">
  <si>
    <t>PMBTA-1</t>
    <phoneticPr fontId="1"/>
  </si>
  <si>
    <t>PMBTA-2</t>
  </si>
  <si>
    <t>PMBTA-3</t>
  </si>
  <si>
    <t>PMBTA-4</t>
  </si>
  <si>
    <t>PMBTA-5</t>
  </si>
  <si>
    <t>DP</t>
    <phoneticPr fontId="1"/>
  </si>
  <si>
    <t>GOx</t>
  </si>
  <si>
    <t>全体 (mL)</t>
    <rPh sb="0" eb="2">
      <t>ゼンタイ</t>
    </rPh>
    <phoneticPr fontId="1"/>
  </si>
  <si>
    <t>mg/mL</t>
    <phoneticPr fontId="1"/>
  </si>
  <si>
    <t>mg</t>
    <phoneticPr fontId="1"/>
  </si>
  <si>
    <t>mL</t>
    <phoneticPr fontId="1"/>
  </si>
  <si>
    <t>mL抽出</t>
    <rPh sb="2" eb="4">
      <t>チュウシュツ</t>
    </rPh>
    <phoneticPr fontId="1"/>
  </si>
  <si>
    <t>バッファー (mL)</t>
    <phoneticPr fontId="1"/>
  </si>
  <si>
    <t>μL</t>
    <phoneticPr fontId="1"/>
  </si>
  <si>
    <t>EtOH</t>
    <phoneticPr fontId="1"/>
  </si>
  <si>
    <t>酵素</t>
    <rPh sb="0" eb="2">
      <t>コウソ</t>
    </rPh>
    <phoneticPr fontId="1"/>
  </si>
  <si>
    <t>GOx+バッファー溶液</t>
    <rPh sb="9" eb="11">
      <t>ヨウエキ</t>
    </rPh>
    <phoneticPr fontId="1"/>
  </si>
  <si>
    <t>HRPストック溶液</t>
    <rPh sb="7" eb="9">
      <t>ヨウエキ</t>
    </rPh>
    <phoneticPr fontId="1"/>
  </si>
  <si>
    <t>HRP 1mg /mL</t>
    <phoneticPr fontId="1"/>
  </si>
  <si>
    <t>pH7.0PBS</t>
    <phoneticPr fontId="1"/>
  </si>
  <si>
    <t>グルコース0.01M</t>
    <phoneticPr fontId="1"/>
  </si>
  <si>
    <t>グルコース</t>
    <phoneticPr fontId="1"/>
  </si>
  <si>
    <t>mL</t>
  </si>
  <si>
    <t>mg/mL</t>
  </si>
  <si>
    <t>pH7.0PBS</t>
  </si>
  <si>
    <t>PMPC</t>
    <phoneticPr fontId="1"/>
  </si>
  <si>
    <t>PMTAC</t>
    <phoneticPr fontId="1"/>
  </si>
  <si>
    <t>HRP 1mg/mL ストック溶液 (μL)</t>
    <rPh sb="15" eb="17">
      <t>ヨウエキ</t>
    </rPh>
    <phoneticPr fontId="1"/>
  </si>
  <si>
    <t>グルコース0.01M (mL)</t>
    <phoneticPr fontId="1"/>
  </si>
  <si>
    <t>PMBTA-7</t>
  </si>
  <si>
    <t>PMBTA-8</t>
  </si>
  <si>
    <t>PMBTA-10</t>
  </si>
  <si>
    <t>PMBTA-11</t>
  </si>
  <si>
    <t>UV-Vis</t>
    <phoneticPr fontId="1"/>
  </si>
  <si>
    <t>ｇと吸光度で濃度の検量線</t>
    <rPh sb="2" eb="5">
      <t>キュウコウド</t>
    </rPh>
    <rPh sb="6" eb="8">
      <t>ノウド</t>
    </rPh>
    <rPh sb="9" eb="12">
      <t>ケンリョウセン</t>
    </rPh>
    <phoneticPr fontId="1"/>
  </si>
  <si>
    <t>stockの濃度を重さじゃなくて数値としての濃度で決める</t>
    <rPh sb="6" eb="8">
      <t>ノウド</t>
    </rPh>
    <rPh sb="9" eb="10">
      <t>オモ</t>
    </rPh>
    <rPh sb="16" eb="18">
      <t>スウチ</t>
    </rPh>
    <rPh sb="22" eb="24">
      <t>ノウド</t>
    </rPh>
    <rPh sb="25" eb="26">
      <t>キ</t>
    </rPh>
    <phoneticPr fontId="1"/>
  </si>
  <si>
    <t>GOxの場合は吸収が220-280くらい</t>
    <rPh sb="4" eb="6">
      <t>バアイ</t>
    </rPh>
    <rPh sb="7" eb="9">
      <t>キュウシュウ</t>
    </rPh>
    <phoneticPr fontId="1"/>
  </si>
  <si>
    <t>GOxの場合</t>
    <rPh sb="4" eb="6">
      <t>バアイ</t>
    </rPh>
    <phoneticPr fontId="1"/>
  </si>
  <si>
    <t>目標Abs:</t>
    <rPh sb="0" eb="2">
      <t>モクヒョウ</t>
    </rPh>
    <phoneticPr fontId="1"/>
  </si>
  <si>
    <t>1mg/mLを2ｍL以上用意する</t>
    <rPh sb="10" eb="12">
      <t>イジョウ</t>
    </rPh>
    <rPh sb="12" eb="14">
      <t>ヨウイ</t>
    </rPh>
    <phoneticPr fontId="1"/>
  </si>
  <si>
    <t>体積を何倍するか</t>
    <rPh sb="0" eb="2">
      <t>タイセキ</t>
    </rPh>
    <rPh sb="3" eb="5">
      <t>ナンバイ</t>
    </rPh>
    <phoneticPr fontId="1"/>
  </si>
  <si>
    <t>UV-VISの測定に使った酵素溶液 (mL)</t>
    <rPh sb="7" eb="9">
      <t>ソクテイ</t>
    </rPh>
    <rPh sb="10" eb="11">
      <t>ツカ</t>
    </rPh>
    <rPh sb="13" eb="17">
      <t>コウソヨウエキ</t>
    </rPh>
    <phoneticPr fontId="1"/>
  </si>
  <si>
    <t>+</t>
    <phoneticPr fontId="1"/>
  </si>
  <si>
    <t>=</t>
    <phoneticPr fontId="1"/>
  </si>
  <si>
    <t>←1を超えないようにする</t>
    <rPh sb="3" eb="4">
      <t>コ</t>
    </rPh>
    <phoneticPr fontId="1"/>
  </si>
  <si>
    <t>秤量で合わせるのが難しい誤差を吸光度で統一</t>
    <rPh sb="0" eb="2">
      <t>ヒョウリョウ</t>
    </rPh>
    <rPh sb="3" eb="4">
      <t>ア</t>
    </rPh>
    <rPh sb="9" eb="10">
      <t>ムズカ</t>
    </rPh>
    <rPh sb="12" eb="14">
      <t>ゴサ</t>
    </rPh>
    <rPh sb="15" eb="18">
      <t>キュウコウド</t>
    </rPh>
    <rPh sb="19" eb="21">
      <t>トウイツ</t>
    </rPh>
    <phoneticPr fontId="1"/>
  </si>
  <si>
    <t>元の設定</t>
    <rPh sb="0" eb="1">
      <t>モト</t>
    </rPh>
    <rPh sb="2" eb="4">
      <t>セッテイ</t>
    </rPh>
    <phoneticPr fontId="1"/>
  </si>
  <si>
    <t>範囲</t>
    <rPh sb="0" eb="2">
      <t>ハンイ</t>
    </rPh>
    <phoneticPr fontId="1"/>
  </si>
  <si>
    <t>走査速度</t>
    <rPh sb="0" eb="4">
      <t>ソウサソクド</t>
    </rPh>
    <phoneticPr fontId="1"/>
  </si>
  <si>
    <t>nm / min</t>
    <phoneticPr fontId="1"/>
  </si>
  <si>
    <t>変更してから使用する</t>
    <rPh sb="0" eb="2">
      <t>ヘンコウ</t>
    </rPh>
    <rPh sb="6" eb="8">
      <t>シヨウ</t>
    </rPh>
    <phoneticPr fontId="1"/>
  </si>
  <si>
    <t>マニュアル通りにやる</t>
    <rPh sb="5" eb="6">
      <t>ドオ</t>
    </rPh>
    <phoneticPr fontId="1"/>
  </si>
  <si>
    <t>細い方の特殊ミクロセルをGOx溶液</t>
    <rPh sb="0" eb="1">
      <t>ホソ</t>
    </rPh>
    <rPh sb="2" eb="3">
      <t>ホウ</t>
    </rPh>
    <rPh sb="4" eb="6">
      <t>トクシュ</t>
    </rPh>
    <rPh sb="15" eb="17">
      <t>ヨウエキ</t>
    </rPh>
    <phoneticPr fontId="1"/>
  </si>
  <si>
    <t>標準セルをバッファーとして固定</t>
    <rPh sb="0" eb="2">
      <t>ヒョウジュン</t>
    </rPh>
    <rPh sb="13" eb="15">
      <t>コテイ</t>
    </rPh>
    <phoneticPr fontId="1"/>
  </si>
  <si>
    <t>←β-Galのときはどうなるのか確認</t>
    <rPh sb="16" eb="18">
      <t>カクニン</t>
    </rPh>
    <phoneticPr fontId="1"/>
  </si>
  <si>
    <t>セルが違うが毎回同じで固定しておけば問題ない</t>
    <rPh sb="3" eb="4">
      <t>チガ</t>
    </rPh>
    <rPh sb="6" eb="9">
      <t>マイカイオナ</t>
    </rPh>
    <rPh sb="11" eb="13">
      <t>コテイ</t>
    </rPh>
    <rPh sb="18" eb="20">
      <t>モンダイ</t>
    </rPh>
    <phoneticPr fontId="1"/>
  </si>
  <si>
    <t>倍率で濃度を精密に測るのが目的</t>
    <rPh sb="0" eb="2">
      <t>バイリツ</t>
    </rPh>
    <rPh sb="3" eb="5">
      <t>ノウド</t>
    </rPh>
    <rPh sb="6" eb="8">
      <t>セイミツ</t>
    </rPh>
    <rPh sb="9" eb="10">
      <t>ハカ</t>
    </rPh>
    <rPh sb="13" eb="15">
      <t>モクテキ</t>
    </rPh>
    <phoneticPr fontId="1"/>
  </si>
  <si>
    <t>溶液の量</t>
    <rPh sb="0" eb="2">
      <t>ヨウエキ</t>
    </rPh>
    <rPh sb="3" eb="4">
      <t>リョウ</t>
    </rPh>
    <phoneticPr fontId="1"/>
  </si>
  <si>
    <t>1の位置</t>
    <rPh sb="2" eb="4">
      <t>イチ</t>
    </rPh>
    <phoneticPr fontId="1"/>
  </si>
  <si>
    <t>2の位置</t>
    <rPh sb="2" eb="4">
      <t>イチ</t>
    </rPh>
    <phoneticPr fontId="1"/>
  </si>
  <si>
    <t>標準セル (バッファー)</t>
    <rPh sb="0" eb="2">
      <t>ヒョウジュン</t>
    </rPh>
    <phoneticPr fontId="1"/>
  </si>
  <si>
    <t>特殊ミクロセル</t>
    <rPh sb="0" eb="2">
      <t>トクシュ</t>
    </rPh>
    <phoneticPr fontId="1"/>
  </si>
  <si>
    <t>要調整</t>
    <rPh sb="0" eb="3">
      <t>ヨウチョウセイ</t>
    </rPh>
    <phoneticPr fontId="1"/>
  </si>
  <si>
    <t>グラフのcsvファイルを取っておくとよい</t>
    <rPh sb="12" eb="13">
      <t>ト</t>
    </rPh>
    <phoneticPr fontId="1"/>
  </si>
  <si>
    <t>測定したAbs (277 nm):</t>
    <rPh sb="0" eb="2">
      <t>ソクテイ</t>
    </rPh>
    <phoneticPr fontId="1"/>
  </si>
  <si>
    <t>PMBTA-6</t>
  </si>
  <si>
    <t>目標Absで統一された酵素溶液 (mL)</t>
    <rPh sb="0" eb="2">
      <t>モクヒョウ</t>
    </rPh>
    <rPh sb="6" eb="8">
      <t>トウイツ</t>
    </rPh>
    <rPh sb="11" eb="15">
      <t>コウソヨウエキ</t>
    </rPh>
    <phoneticPr fontId="1"/>
  </si>
  <si>
    <t>濃度は何倍</t>
    <rPh sb="0" eb="2">
      <t>ノウド</t>
    </rPh>
    <rPh sb="3" eb="5">
      <t>ナンバイ</t>
    </rPh>
    <phoneticPr fontId="1"/>
  </si>
  <si>
    <t>PMBTA-9</t>
  </si>
  <si>
    <t>MPC (mol %)</t>
  </si>
  <si>
    <t>BMA (mol %)</t>
  </si>
  <si>
    <t>MTAC (mol %)</t>
  </si>
  <si>
    <t>polymer-DMSOストック溶液</t>
    <rPh sb="16" eb="18">
      <t>ヨウエキ</t>
    </rPh>
    <phoneticPr fontId="1"/>
  </si>
  <si>
    <t>concentration：</t>
    <phoneticPr fontId="1"/>
  </si>
  <si>
    <t>推定 Mn（g/mol）</t>
  </si>
  <si>
    <t>DP：</t>
    <phoneticPr fontId="1"/>
  </si>
  <si>
    <t>鎖濃度（C_chain, µM）@ストック</t>
    <phoneticPr fontId="1"/>
  </si>
  <si>
    <t>C_MTAC_unit_stock (mM)</t>
  </si>
  <si>
    <t>C_BMA_unit_stock (mM)</t>
    <phoneticPr fontId="1"/>
  </si>
  <si>
    <t>C_MPC_unit_stock (mM)</t>
  </si>
  <si>
    <t>Solvent (DMSO / EtOH)</t>
    <phoneticPr fontId="1"/>
  </si>
  <si>
    <t>Well_μL</t>
    <phoneticPr fontId="1"/>
  </si>
  <si>
    <t>EnzMix_μL</t>
  </si>
  <si>
    <t>EnzMix_μL</t>
    <phoneticPr fontId="1"/>
  </si>
  <si>
    <t>Substrate_Mix_μL</t>
    <phoneticPr fontId="1"/>
  </si>
  <si>
    <t>DF</t>
  </si>
  <si>
    <t>well mix value</t>
    <phoneticPr fontId="1"/>
  </si>
  <si>
    <t>GOx_stock_C (μg/mL)</t>
    <phoneticPr fontId="1"/>
  </si>
  <si>
    <t>GOx_MW (g/mol)</t>
    <phoneticPr fontId="1"/>
  </si>
  <si>
    <t>GOx_enzmix (μg/mL)</t>
    <phoneticPr fontId="1"/>
  </si>
  <si>
    <t>GOx parameter</t>
    <phoneticPr fontId="1"/>
  </si>
  <si>
    <t>Polmer parameter</t>
    <phoneticPr fontId="1"/>
  </si>
  <si>
    <t>Mode</t>
    <phoneticPr fontId="1"/>
  </si>
  <si>
    <t>mass</t>
    <phoneticPr fontId="1"/>
  </si>
  <si>
    <t>chain</t>
  </si>
  <si>
    <t>chain</t>
    <phoneticPr fontId="1"/>
  </si>
  <si>
    <t>Max_solvent_percent</t>
  </si>
  <si>
    <t>MPC</t>
  </si>
  <si>
    <t>BMA</t>
  </si>
  <si>
    <t>MTAC</t>
  </si>
  <si>
    <t>PolymerID</t>
    <phoneticPr fontId="1"/>
  </si>
  <si>
    <t>Stock_concentration (mg/mL)</t>
    <phoneticPr fontId="1"/>
  </si>
  <si>
    <t>Note</t>
    <phoneticPr fontId="1"/>
  </si>
  <si>
    <t>DMSOに溶けない</t>
    <rPh sb="5" eb="6">
      <t>ト</t>
    </rPh>
    <phoneticPr fontId="1"/>
  </si>
  <si>
    <t>need_vol_per_well (μL)</t>
    <phoneticPr fontId="1"/>
  </si>
  <si>
    <t>assay plan</t>
    <phoneticPr fontId="1"/>
  </si>
  <si>
    <t>Number_measurements+1</t>
    <phoneticPr fontId="1"/>
  </si>
  <si>
    <t>heat tube (mL)</t>
    <phoneticPr fontId="1"/>
  </si>
  <si>
    <r>
      <t>GOx_final_concentration (μg/mL)</t>
    </r>
    <r>
      <rPr>
        <b/>
        <sz val="11"/>
        <color rgb="FF3F3F3F"/>
        <rFont val="游ゴシック"/>
        <family val="1"/>
        <charset val="128"/>
      </rPr>
      <t xml:space="preserve"> @well</t>
    </r>
    <phoneticPr fontId="1"/>
  </si>
  <si>
    <t>GOx_enzmix (μg)</t>
    <phoneticPr fontId="1"/>
  </si>
  <si>
    <t>organic_solvent (μL)</t>
    <phoneticPr fontId="1"/>
  </si>
  <si>
    <t>organic_solvent (%)</t>
    <phoneticPr fontId="1"/>
  </si>
  <si>
    <t>pH7.4PBS (μL)</t>
    <phoneticPr fontId="1"/>
  </si>
  <si>
    <t>heat_enzmix (μL)</t>
    <phoneticPr fontId="1"/>
  </si>
  <si>
    <t>C_GOx_heat_enzmix (μg/mL)</t>
    <phoneticPr fontId="1"/>
  </si>
  <si>
    <t>Poly_stock</t>
    <phoneticPr fontId="1"/>
  </si>
  <si>
    <t>Vol_poly_stock (μL)</t>
    <phoneticPr fontId="1"/>
  </si>
  <si>
    <t>GOx_solution</t>
    <phoneticPr fontId="1"/>
  </si>
  <si>
    <t>vol_for_heat tube (μL)</t>
    <phoneticPr fontId="1"/>
  </si>
  <si>
    <t>W_GOx_heat (μg)</t>
    <phoneticPr fontId="1"/>
  </si>
  <si>
    <t>R_Chain_to_GOx_if_chain (chain mol fix)</t>
    <phoneticPr fontId="1"/>
  </si>
  <si>
    <r>
      <t>[GOx]_final (nM)</t>
    </r>
    <r>
      <rPr>
        <b/>
        <sz val="11"/>
        <color rgb="FF3F3F3F"/>
        <rFont val="游ゴシック"/>
        <family val="1"/>
        <charset val="128"/>
      </rPr>
      <t xml:space="preserve"> @well</t>
    </r>
    <phoneticPr fontId="1"/>
  </si>
  <si>
    <t>Poly_final_concentration @well_if_mass (mg/mL)</t>
    <phoneticPr fontId="1"/>
  </si>
  <si>
    <t>[GOx]_enzmix (nM)</t>
    <phoneticPr fontId="1"/>
  </si>
  <si>
    <t>[Poly]_final @well (nM)</t>
    <phoneticPr fontId="1"/>
  </si>
  <si>
    <t>[Poly]_heat_enzmix (μM)</t>
    <phoneticPr fontId="1"/>
  </si>
  <si>
    <t>W_Poly_heattube (μg)</t>
    <phoneticPr fontId="1"/>
  </si>
  <si>
    <t>C_Poly (mg/mL)</t>
    <phoneticPr fontId="1"/>
  </si>
  <si>
    <t>W_Poly_enzmix (μg)</t>
    <phoneticPr fontId="1"/>
  </si>
  <si>
    <t>[Poly]_enzmix (nM)</t>
    <phoneticPr fontId="1"/>
  </si>
  <si>
    <t>Mn</t>
    <phoneticPr fontId="1"/>
  </si>
  <si>
    <t>C_Poly_heat_enzmix (mg/mL)</t>
    <phoneticPr fontId="1"/>
  </si>
  <si>
    <t>[GOx]_heat_enzmix (nM)</t>
    <phoneticPr fontId="1"/>
  </si>
  <si>
    <t>R_heat tube</t>
    <phoneticPr fontId="1"/>
  </si>
  <si>
    <t>[Poly]_stock (mM)</t>
    <phoneticPr fontId="1"/>
  </si>
  <si>
    <t>actual (mg)</t>
    <phoneticPr fontId="1"/>
  </si>
  <si>
    <t>solvent (mL)</t>
    <phoneticPr fontId="1"/>
  </si>
  <si>
    <t>solvent</t>
    <phoneticPr fontId="1"/>
  </si>
  <si>
    <t>DMSO</t>
  </si>
  <si>
    <t>DMSO</t>
    <phoneticPr fontId="1"/>
  </si>
  <si>
    <r>
      <rPr>
        <sz val="11"/>
        <color theme="1"/>
        <rFont val="游ゴシック"/>
        <family val="2"/>
        <charset val="128"/>
      </rPr>
      <t>ストック溶液</t>
    </r>
    <r>
      <rPr>
        <sz val="11"/>
        <color theme="1"/>
        <rFont val="Times New Roman"/>
        <family val="1"/>
      </rPr>
      <t xml:space="preserve"> (mM)</t>
    </r>
    <rPh sb="4" eb="6">
      <t>ヨウエキ</t>
    </rPh>
    <phoneticPr fontId="1"/>
  </si>
  <si>
    <r>
      <t>GOx</t>
    </r>
    <r>
      <rPr>
        <sz val="11"/>
        <color theme="1"/>
        <rFont val="游ゴシック"/>
        <family val="2"/>
        <charset val="128"/>
      </rPr>
      <t>ストック溶液</t>
    </r>
    <rPh sb="7" eb="9">
      <t>ヨウエキ</t>
    </rPh>
    <phoneticPr fontId="1"/>
  </si>
  <si>
    <t>C_Poly_enzmix (μg/mL)</t>
    <phoneticPr fontId="1"/>
  </si>
  <si>
    <r>
      <t>C_GOx_solution (</t>
    </r>
    <r>
      <rPr>
        <sz val="11"/>
        <color theme="1"/>
        <rFont val="Times New Roman"/>
        <family val="1"/>
        <charset val="161"/>
      </rPr>
      <t>μ</t>
    </r>
    <r>
      <rPr>
        <sz val="11"/>
        <color theme="1"/>
        <rFont val="Times New Roman"/>
        <family val="1"/>
      </rPr>
      <t>g/mL)</t>
    </r>
    <phoneticPr fontId="1"/>
  </si>
  <si>
    <r>
      <rPr>
        <sz val="11"/>
        <color theme="1"/>
        <rFont val="Times New Roman"/>
        <family val="1"/>
      </rPr>
      <t>20</t>
    </r>
    <r>
      <rPr>
        <sz val="11"/>
        <color theme="1"/>
        <rFont val="游ゴシック"/>
        <family val="1"/>
        <charset val="128"/>
      </rPr>
      <t>μ</t>
    </r>
    <r>
      <rPr>
        <sz val="11"/>
        <color theme="1"/>
        <rFont val="Times New Roman"/>
        <family val="1"/>
      </rPr>
      <t>L</t>
    </r>
    <r>
      <rPr>
        <sz val="11"/>
        <color theme="1"/>
        <rFont val="游ゴシック"/>
        <family val="3"/>
        <charset val="128"/>
        <scheme val="minor"/>
      </rPr>
      <t>抽出</t>
    </r>
    <rPh sb="4" eb="6">
      <t>チュウシュツ</t>
    </rPh>
    <phoneticPr fontId="1"/>
  </si>
  <si>
    <t>Heat Tube</t>
    <phoneticPr fontId="1"/>
  </si>
  <si>
    <t>Well</t>
    <phoneticPr fontId="1"/>
  </si>
  <si>
    <t>濃度を調整</t>
    <rPh sb="0" eb="2">
      <t>ノウド</t>
    </rPh>
    <rPh sb="3" eb="5">
      <t>チョウセイ</t>
    </rPh>
    <phoneticPr fontId="1"/>
  </si>
  <si>
    <t>vol_GOx_stock (mL)</t>
    <phoneticPr fontId="1"/>
  </si>
  <si>
    <t>pH7.4PBS (mL)</t>
    <phoneticPr fontId="1"/>
  </si>
  <si>
    <t>GOx_solution_total (mL)</t>
    <phoneticPr fontId="1"/>
  </si>
  <si>
    <t>C_GOx_stock (μg/mL)</t>
    <phoneticPr fontId="1"/>
  </si>
  <si>
    <t>分注する</t>
    <rPh sb="0" eb="2">
      <t>ブンチュウ</t>
    </rPh>
    <phoneticPr fontId="1"/>
  </si>
  <si>
    <t>Polymerストック溶液の作成</t>
    <rPh sb="11" eb="13">
      <t>ヨウエキ</t>
    </rPh>
    <rPh sb="14" eb="16">
      <t>サクセイ</t>
    </rPh>
    <phoneticPr fontId="1"/>
  </si>
  <si>
    <t>Mw_平均繰返し単位分子量（Mw_repeat_avg）</t>
    <phoneticPr fontId="1"/>
  </si>
  <si>
    <t>amplex red 100μM (20μL in tube)</t>
    <phoneticPr fontId="1"/>
  </si>
  <si>
    <r>
      <t>260129_measure</t>
    </r>
    <r>
      <rPr>
        <sz val="11"/>
        <color theme="1"/>
        <rFont val="ＭＳ Ｐ明朝"/>
        <family val="1"/>
        <charset val="128"/>
      </rPr>
      <t>↓</t>
    </r>
    <phoneticPr fontId="1"/>
  </si>
  <si>
    <t>UV-VISで1 mg/mLを固定する</t>
    <rPh sb="15" eb="17">
      <t>コテイ</t>
    </rPh>
    <phoneticPr fontId="1"/>
  </si>
  <si>
    <t>1mg/mLのAbs (277nm):</t>
    <phoneticPr fontId="1"/>
  </si>
  <si>
    <t>Monomer Mw (g/mol)</t>
    <phoneticPr fontId="1"/>
  </si>
  <si>
    <t>EtOH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</si>
</sst>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charset val="128"/>
    </font>
    <font>
      <sz val="11"/>
      <color theme="1"/>
      <name val="游ゴシック"/>
      <family val="3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sz val="11"/>
      <color theme="1"/>
      <name val="Times New Roman"/>
      <family val="1"/>
    </font>
    <font>
      <sz val="11"/>
      <color theme="1"/>
      <name val="游ゴシック"/>
      <family val="1"/>
      <charset val="128"/>
    </font>
    <font>
      <b/>
      <sz val="11"/>
      <color theme="1"/>
      <name val="Times New Roman"/>
      <family val="1"/>
    </font>
    <font>
      <b/>
      <sz val="11"/>
      <color rgb="FF3F3F3F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rgb="FF595959"/>
      <name val="Times New Roman"/>
      <family val="1"/>
    </font>
    <font>
      <sz val="11"/>
      <color rgb="FF0000FF"/>
      <name val="Times New Roman"/>
      <family val="1"/>
    </font>
    <font>
      <b/>
      <sz val="11"/>
      <color rgb="FF3F3F3F"/>
      <name val="游ゴシック"/>
      <family val="1"/>
      <charset val="128"/>
    </font>
    <font>
      <sz val="11"/>
      <color theme="1"/>
      <name val="Times New Roman"/>
      <family val="1"/>
      <charset val="161"/>
    </font>
    <font>
      <sz val="11"/>
      <color theme="1"/>
      <name val="游ゴシック"/>
      <family val="1"/>
      <charset val="128"/>
      <scheme val="minor"/>
    </font>
    <font>
      <sz val="11"/>
      <color theme="1"/>
      <name val="Times New Roman"/>
      <family val="2"/>
      <charset val="128"/>
    </font>
    <font>
      <sz val="11"/>
      <color theme="1"/>
      <name val="ＭＳ Ｐ明朝"/>
      <family val="1"/>
      <charset val="128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rgb="FFFFF2CC"/>
        <bgColor rgb="FF000000"/>
      </patternFill>
    </fill>
  </fills>
  <borders count="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3" borderId="1" applyNumberFormat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2" borderId="0" xfId="0" applyFill="1">
      <alignment vertical="center"/>
    </xf>
    <xf numFmtId="0" fontId="3" fillId="0" borderId="2" xfId="0" applyFont="1" applyBorder="1">
      <alignment vertical="center"/>
    </xf>
    <xf numFmtId="0" fontId="5" fillId="0" borderId="0" xfId="0" applyFont="1">
      <alignment vertical="center"/>
    </xf>
    <xf numFmtId="0" fontId="8" fillId="3" borderId="1" xfId="1" applyFont="1">
      <alignment vertical="center"/>
    </xf>
    <xf numFmtId="0" fontId="9" fillId="0" borderId="0" xfId="0" applyFont="1" applyAlignment="1"/>
    <xf numFmtId="0" fontId="10" fillId="0" borderId="0" xfId="0" applyFont="1" applyAlignment="1"/>
    <xf numFmtId="0" fontId="11" fillId="0" borderId="0" xfId="0" applyFont="1" applyAlignment="1"/>
    <xf numFmtId="0" fontId="12" fillId="4" borderId="0" xfId="0" applyFont="1" applyFill="1" applyAlignment="1"/>
    <xf numFmtId="0" fontId="8" fillId="2" borderId="1" xfId="1" applyFont="1" applyFill="1">
      <alignment vertical="center"/>
    </xf>
    <xf numFmtId="0" fontId="5" fillId="2" borderId="0" xfId="0" applyFont="1" applyFill="1">
      <alignment vertical="center"/>
    </xf>
    <xf numFmtId="0" fontId="3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16" fillId="0" borderId="0" xfId="0" applyFont="1">
      <alignment vertical="center"/>
    </xf>
  </cellXfs>
  <cellStyles count="2">
    <cellStyle name="出力" xfId="1" builtinId="21"/>
    <cellStyle name="標準" xfId="0" builtinId="0"/>
  </cellStyles>
  <dxfs count="0"/>
  <tableStyles count="1" defaultTableStyle="TableStyleMedium2" defaultPivotStyle="PivotStyleLight16">
    <tableStyle name="テーブル スタイル 1" pivot="0" count="0" xr9:uid="{55D5DBF0-ACA6-4631-9C87-2C68D5E76F7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190500</xdr:colOff>
      <xdr:row>34</xdr:row>
      <xdr:rowOff>89647</xdr:rowOff>
    </xdr:from>
    <xdr:to>
      <xdr:col>12</xdr:col>
      <xdr:colOff>1648508</xdr:colOff>
      <xdr:row>34</xdr:row>
      <xdr:rowOff>94739</xdr:rowOff>
    </xdr:to>
    <xdr:cxnSp macro="">
      <xdr:nvCxnSpPr>
        <xdr:cNvPr id="2" name="直線矢印コネクタ 1">
          <a:extLst>
            <a:ext uri="{FF2B5EF4-FFF2-40B4-BE49-F238E27FC236}">
              <a16:creationId xmlns:a16="http://schemas.microsoft.com/office/drawing/2014/main" id="{09F23E5B-9EA7-4556-A1EC-4EAA51502509}"/>
            </a:ext>
          </a:extLst>
        </xdr:cNvPr>
        <xdr:cNvCxnSpPr/>
      </xdr:nvCxnSpPr>
      <xdr:spPr>
        <a:xfrm>
          <a:off x="22440900" y="7862047"/>
          <a:ext cx="1458008" cy="5092"/>
        </a:xfrm>
        <a:prstGeom prst="straightConnector1">
          <a:avLst/>
        </a:prstGeom>
        <a:ln w="34925">
          <a:solidFill>
            <a:schemeClr val="accent1">
              <a:lumMod val="60000"/>
              <a:lumOff val="4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915866</xdr:colOff>
      <xdr:row>34</xdr:row>
      <xdr:rowOff>95363</xdr:rowOff>
    </xdr:from>
    <xdr:to>
      <xdr:col>12</xdr:col>
      <xdr:colOff>931769</xdr:colOff>
      <xdr:row>47</xdr:row>
      <xdr:rowOff>73270</xdr:rowOff>
    </xdr:to>
    <xdr:cxnSp macro="">
      <xdr:nvCxnSpPr>
        <xdr:cNvPr id="3" name="直線コネクタ 2">
          <a:extLst>
            <a:ext uri="{FF2B5EF4-FFF2-40B4-BE49-F238E27FC236}">
              <a16:creationId xmlns:a16="http://schemas.microsoft.com/office/drawing/2014/main" id="{4D816291-DF68-4967-AD29-E5E2B0A94090}"/>
            </a:ext>
          </a:extLst>
        </xdr:cNvPr>
        <xdr:cNvCxnSpPr/>
      </xdr:nvCxnSpPr>
      <xdr:spPr>
        <a:xfrm flipH="1">
          <a:off x="23166266" y="7867763"/>
          <a:ext cx="15903" cy="2949707"/>
        </a:xfrm>
        <a:prstGeom prst="line">
          <a:avLst/>
        </a:prstGeom>
        <a:ln w="34925"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9232</xdr:colOff>
      <xdr:row>47</xdr:row>
      <xdr:rowOff>85725</xdr:rowOff>
    </xdr:from>
    <xdr:to>
      <xdr:col>12</xdr:col>
      <xdr:colOff>942975</xdr:colOff>
      <xdr:row>47</xdr:row>
      <xdr:rowOff>98767</xdr:rowOff>
    </xdr:to>
    <xdr:cxnSp macro="">
      <xdr:nvCxnSpPr>
        <xdr:cNvPr id="4" name="直線コネクタ 3">
          <a:extLst>
            <a:ext uri="{FF2B5EF4-FFF2-40B4-BE49-F238E27FC236}">
              <a16:creationId xmlns:a16="http://schemas.microsoft.com/office/drawing/2014/main" id="{1F6A0F40-E674-44B6-96D2-FB6CBF35CC01}"/>
            </a:ext>
          </a:extLst>
        </xdr:cNvPr>
        <xdr:cNvCxnSpPr/>
      </xdr:nvCxnSpPr>
      <xdr:spPr>
        <a:xfrm flipH="1">
          <a:off x="22259632" y="10829925"/>
          <a:ext cx="933743" cy="13042"/>
        </a:xfrm>
        <a:prstGeom prst="line">
          <a:avLst/>
        </a:prstGeom>
        <a:ln w="34925"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121920</xdr:colOff>
      <xdr:row>34</xdr:row>
      <xdr:rowOff>106792</xdr:rowOff>
    </xdr:from>
    <xdr:to>
      <xdr:col>9</xdr:col>
      <xdr:colOff>1583738</xdr:colOff>
      <xdr:row>34</xdr:row>
      <xdr:rowOff>106792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C25A1B63-7D1D-4C46-AF41-A99750D9DF71}"/>
            </a:ext>
          </a:extLst>
        </xdr:cNvPr>
        <xdr:cNvCxnSpPr/>
      </xdr:nvCxnSpPr>
      <xdr:spPr>
        <a:xfrm>
          <a:off x="15994380" y="7879192"/>
          <a:ext cx="1461818" cy="0"/>
        </a:xfrm>
        <a:prstGeom prst="straightConnector1">
          <a:avLst/>
        </a:prstGeom>
        <a:ln w="34925">
          <a:solidFill>
            <a:schemeClr val="accent1">
              <a:lumMod val="60000"/>
              <a:lumOff val="4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352425</xdr:colOff>
      <xdr:row>34</xdr:row>
      <xdr:rowOff>85725</xdr:rowOff>
    </xdr:from>
    <xdr:to>
      <xdr:col>6</xdr:col>
      <xdr:colOff>2418127</xdr:colOff>
      <xdr:row>34</xdr:row>
      <xdr:rowOff>93457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B0407016-C83F-42D7-9D3B-EAB8781701EE}"/>
            </a:ext>
          </a:extLst>
        </xdr:cNvPr>
        <xdr:cNvCxnSpPr/>
      </xdr:nvCxnSpPr>
      <xdr:spPr>
        <a:xfrm>
          <a:off x="9374505" y="7858125"/>
          <a:ext cx="2065702" cy="7732"/>
        </a:xfrm>
        <a:prstGeom prst="straightConnector1">
          <a:avLst/>
        </a:prstGeom>
        <a:ln w="34925">
          <a:solidFill>
            <a:schemeClr val="accent1">
              <a:lumMod val="60000"/>
              <a:lumOff val="4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1695450</xdr:colOff>
      <xdr:row>34</xdr:row>
      <xdr:rowOff>91553</xdr:rowOff>
    </xdr:from>
    <xdr:to>
      <xdr:col>6</xdr:col>
      <xdr:colOff>1697578</xdr:colOff>
      <xdr:row>41</xdr:row>
      <xdr:rowOff>85725</xdr:rowOff>
    </xdr:to>
    <xdr:cxnSp macro="">
      <xdr:nvCxnSpPr>
        <xdr:cNvPr id="7" name="直線コネクタ 6">
          <a:extLst>
            <a:ext uri="{FF2B5EF4-FFF2-40B4-BE49-F238E27FC236}">
              <a16:creationId xmlns:a16="http://schemas.microsoft.com/office/drawing/2014/main" id="{EE332015-260C-456D-8FAD-5265C89B2CAA}"/>
            </a:ext>
          </a:extLst>
        </xdr:cNvPr>
        <xdr:cNvCxnSpPr/>
      </xdr:nvCxnSpPr>
      <xdr:spPr>
        <a:xfrm flipH="1">
          <a:off x="10717530" y="7863953"/>
          <a:ext cx="2128" cy="1594372"/>
        </a:xfrm>
        <a:prstGeom prst="line">
          <a:avLst/>
        </a:prstGeom>
        <a:ln w="34925"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379095</xdr:colOff>
      <xdr:row>41</xdr:row>
      <xdr:rowOff>87152</xdr:rowOff>
    </xdr:from>
    <xdr:to>
      <xdr:col>6</xdr:col>
      <xdr:colOff>1703783</xdr:colOff>
      <xdr:row>41</xdr:row>
      <xdr:rowOff>89058</xdr:rowOff>
    </xdr:to>
    <xdr:cxnSp macro="">
      <xdr:nvCxnSpPr>
        <xdr:cNvPr id="8" name="直線コネクタ 7">
          <a:extLst>
            <a:ext uri="{FF2B5EF4-FFF2-40B4-BE49-F238E27FC236}">
              <a16:creationId xmlns:a16="http://schemas.microsoft.com/office/drawing/2014/main" id="{C62F411C-31C1-4D82-B651-E7EA4E45A1C7}"/>
            </a:ext>
          </a:extLst>
        </xdr:cNvPr>
        <xdr:cNvCxnSpPr/>
      </xdr:nvCxnSpPr>
      <xdr:spPr>
        <a:xfrm flipH="1" flipV="1">
          <a:off x="9401175" y="9459752"/>
          <a:ext cx="1324688" cy="1906"/>
        </a:xfrm>
        <a:prstGeom prst="line">
          <a:avLst/>
        </a:prstGeom>
        <a:ln w="34925"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406983</xdr:colOff>
      <xdr:row>37</xdr:row>
      <xdr:rowOff>7854</xdr:rowOff>
    </xdr:from>
    <xdr:to>
      <xdr:col>3</xdr:col>
      <xdr:colOff>384178</xdr:colOff>
      <xdr:row>37</xdr:row>
      <xdr:rowOff>7854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F648C85D-D234-4CF1-8E2E-8D3C7AA9894E}"/>
            </a:ext>
          </a:extLst>
        </xdr:cNvPr>
        <xdr:cNvCxnSpPr/>
      </xdr:nvCxnSpPr>
      <xdr:spPr>
        <a:xfrm flipV="1">
          <a:off x="3477843" y="8466054"/>
          <a:ext cx="899215" cy="0"/>
        </a:xfrm>
        <a:prstGeom prst="straightConnector1">
          <a:avLst/>
        </a:prstGeom>
        <a:ln w="34925">
          <a:solidFill>
            <a:schemeClr val="accent1">
              <a:lumMod val="60000"/>
              <a:lumOff val="4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15952</xdr:colOff>
      <xdr:row>39</xdr:row>
      <xdr:rowOff>113429</xdr:rowOff>
    </xdr:from>
    <xdr:to>
      <xdr:col>2</xdr:col>
      <xdr:colOff>440121</xdr:colOff>
      <xdr:row>39</xdr:row>
      <xdr:rowOff>116492</xdr:rowOff>
    </xdr:to>
    <xdr:cxnSp macro="">
      <xdr:nvCxnSpPr>
        <xdr:cNvPr id="10" name="直線コネクタ 9">
          <a:extLst>
            <a:ext uri="{FF2B5EF4-FFF2-40B4-BE49-F238E27FC236}">
              <a16:creationId xmlns:a16="http://schemas.microsoft.com/office/drawing/2014/main" id="{8215F03A-D8F3-47C4-8925-C954CF909E6F}"/>
            </a:ext>
          </a:extLst>
        </xdr:cNvPr>
        <xdr:cNvCxnSpPr/>
      </xdr:nvCxnSpPr>
      <xdr:spPr>
        <a:xfrm flipH="1" flipV="1">
          <a:off x="3086812" y="9028829"/>
          <a:ext cx="424169" cy="3063"/>
        </a:xfrm>
        <a:prstGeom prst="line">
          <a:avLst/>
        </a:prstGeom>
        <a:ln w="34925"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417634</xdr:colOff>
      <xdr:row>37</xdr:row>
      <xdr:rowOff>43961</xdr:rowOff>
    </xdr:from>
    <xdr:to>
      <xdr:col>2</xdr:col>
      <xdr:colOff>420414</xdr:colOff>
      <xdr:row>39</xdr:row>
      <xdr:rowOff>111672</xdr:rowOff>
    </xdr:to>
    <xdr:cxnSp macro="">
      <xdr:nvCxnSpPr>
        <xdr:cNvPr id="11" name="直線コネクタ 10">
          <a:extLst>
            <a:ext uri="{FF2B5EF4-FFF2-40B4-BE49-F238E27FC236}">
              <a16:creationId xmlns:a16="http://schemas.microsoft.com/office/drawing/2014/main" id="{BB546DF8-B860-4557-99E8-D8C17FF2B2FB}"/>
            </a:ext>
          </a:extLst>
        </xdr:cNvPr>
        <xdr:cNvCxnSpPr/>
      </xdr:nvCxnSpPr>
      <xdr:spPr>
        <a:xfrm flipH="1" flipV="1">
          <a:off x="3488494" y="8502161"/>
          <a:ext cx="2780" cy="524911"/>
        </a:xfrm>
        <a:prstGeom prst="line">
          <a:avLst/>
        </a:prstGeom>
        <a:ln w="34925"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19762</xdr:colOff>
      <xdr:row>35</xdr:row>
      <xdr:rowOff>98775</xdr:rowOff>
    </xdr:from>
    <xdr:to>
      <xdr:col>2</xdr:col>
      <xdr:colOff>436311</xdr:colOff>
      <xdr:row>35</xdr:row>
      <xdr:rowOff>101838</xdr:rowOff>
    </xdr:to>
    <xdr:cxnSp macro="">
      <xdr:nvCxnSpPr>
        <xdr:cNvPr id="12" name="直線コネクタ 11">
          <a:extLst>
            <a:ext uri="{FF2B5EF4-FFF2-40B4-BE49-F238E27FC236}">
              <a16:creationId xmlns:a16="http://schemas.microsoft.com/office/drawing/2014/main" id="{D1ACAAC6-A534-4CA3-B240-2BDAEF439C2F}"/>
            </a:ext>
          </a:extLst>
        </xdr:cNvPr>
        <xdr:cNvCxnSpPr/>
      </xdr:nvCxnSpPr>
      <xdr:spPr>
        <a:xfrm flipH="1" flipV="1">
          <a:off x="3090622" y="8099775"/>
          <a:ext cx="416549" cy="3063"/>
        </a:xfrm>
        <a:prstGeom prst="line">
          <a:avLst/>
        </a:prstGeom>
        <a:ln w="34925"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417634</xdr:colOff>
      <xdr:row>35</xdr:row>
      <xdr:rowOff>111808</xdr:rowOff>
    </xdr:from>
    <xdr:to>
      <xdr:col>2</xdr:col>
      <xdr:colOff>420414</xdr:colOff>
      <xdr:row>37</xdr:row>
      <xdr:rowOff>177614</xdr:rowOff>
    </xdr:to>
    <xdr:cxnSp macro="">
      <xdr:nvCxnSpPr>
        <xdr:cNvPr id="13" name="直線コネクタ 12">
          <a:extLst>
            <a:ext uri="{FF2B5EF4-FFF2-40B4-BE49-F238E27FC236}">
              <a16:creationId xmlns:a16="http://schemas.microsoft.com/office/drawing/2014/main" id="{A8ECEC90-8051-442A-A70F-AC2FC03336DE}"/>
            </a:ext>
          </a:extLst>
        </xdr:cNvPr>
        <xdr:cNvCxnSpPr/>
      </xdr:nvCxnSpPr>
      <xdr:spPr>
        <a:xfrm flipH="1" flipV="1">
          <a:off x="3488494" y="8112808"/>
          <a:ext cx="2780" cy="523006"/>
        </a:xfrm>
        <a:prstGeom prst="line">
          <a:avLst/>
        </a:prstGeom>
        <a:ln w="34925"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1179634</xdr:colOff>
      <xdr:row>33</xdr:row>
      <xdr:rowOff>161503</xdr:rowOff>
    </xdr:from>
    <xdr:to>
      <xdr:col>3</xdr:col>
      <xdr:colOff>1182414</xdr:colOff>
      <xdr:row>35</xdr:row>
      <xdr:rowOff>223499</xdr:rowOff>
    </xdr:to>
    <xdr:cxnSp macro="">
      <xdr:nvCxnSpPr>
        <xdr:cNvPr id="14" name="直線コネクタ 13">
          <a:extLst>
            <a:ext uri="{FF2B5EF4-FFF2-40B4-BE49-F238E27FC236}">
              <a16:creationId xmlns:a16="http://schemas.microsoft.com/office/drawing/2014/main" id="{1E32FEEA-BC6B-4C17-B47F-C998A15BBB99}"/>
            </a:ext>
          </a:extLst>
        </xdr:cNvPr>
        <xdr:cNvCxnSpPr/>
      </xdr:nvCxnSpPr>
      <xdr:spPr>
        <a:xfrm flipH="1" flipV="1">
          <a:off x="5172514" y="7705303"/>
          <a:ext cx="2780" cy="519196"/>
        </a:xfrm>
        <a:prstGeom prst="line">
          <a:avLst/>
        </a:prstGeom>
        <a:ln w="34925"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1184413</xdr:colOff>
      <xdr:row>33</xdr:row>
      <xdr:rowOff>149087</xdr:rowOff>
    </xdr:from>
    <xdr:to>
      <xdr:col>3</xdr:col>
      <xdr:colOff>2422332</xdr:colOff>
      <xdr:row>33</xdr:row>
      <xdr:rowOff>159275</xdr:rowOff>
    </xdr:to>
    <xdr:cxnSp macro="">
      <xdr:nvCxnSpPr>
        <xdr:cNvPr id="15" name="直線矢印コネクタ 14">
          <a:extLst>
            <a:ext uri="{FF2B5EF4-FFF2-40B4-BE49-F238E27FC236}">
              <a16:creationId xmlns:a16="http://schemas.microsoft.com/office/drawing/2014/main" id="{CF17AB9B-0078-4709-8639-18D1AB56328E}"/>
            </a:ext>
          </a:extLst>
        </xdr:cNvPr>
        <xdr:cNvCxnSpPr/>
      </xdr:nvCxnSpPr>
      <xdr:spPr>
        <a:xfrm>
          <a:off x="5177293" y="7692887"/>
          <a:ext cx="1237919" cy="10188"/>
        </a:xfrm>
        <a:prstGeom prst="straightConnector1">
          <a:avLst/>
        </a:prstGeom>
        <a:ln w="34925">
          <a:solidFill>
            <a:schemeClr val="accent1">
              <a:lumMod val="60000"/>
              <a:lumOff val="4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685800</xdr:colOff>
      <xdr:row>43</xdr:row>
      <xdr:rowOff>171450</xdr:rowOff>
    </xdr:from>
    <xdr:to>
      <xdr:col>1</xdr:col>
      <xdr:colOff>691515</xdr:colOff>
      <xdr:row>47</xdr:row>
      <xdr:rowOff>177613</xdr:rowOff>
    </xdr:to>
    <xdr:cxnSp macro="">
      <xdr:nvCxnSpPr>
        <xdr:cNvPr id="16" name="直線矢印コネクタ 15">
          <a:extLst>
            <a:ext uri="{FF2B5EF4-FFF2-40B4-BE49-F238E27FC236}">
              <a16:creationId xmlns:a16="http://schemas.microsoft.com/office/drawing/2014/main" id="{C579147D-47DF-4F07-A159-8DF87CE12297}"/>
            </a:ext>
          </a:extLst>
        </xdr:cNvPr>
        <xdr:cNvCxnSpPr/>
      </xdr:nvCxnSpPr>
      <xdr:spPr>
        <a:xfrm>
          <a:off x="2697480" y="10001250"/>
          <a:ext cx="5715" cy="92056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695325</xdr:colOff>
      <xdr:row>49</xdr:row>
      <xdr:rowOff>159124</xdr:rowOff>
    </xdr:from>
    <xdr:to>
      <xdr:col>1</xdr:col>
      <xdr:colOff>695325</xdr:colOff>
      <xdr:row>53</xdr:row>
      <xdr:rowOff>160244</xdr:rowOff>
    </xdr:to>
    <xdr:cxnSp macro="">
      <xdr:nvCxnSpPr>
        <xdr:cNvPr id="17" name="直線矢印コネクタ 16">
          <a:extLst>
            <a:ext uri="{FF2B5EF4-FFF2-40B4-BE49-F238E27FC236}">
              <a16:creationId xmlns:a16="http://schemas.microsoft.com/office/drawing/2014/main" id="{669C1E4F-DB65-4941-B278-AC260048221F}"/>
            </a:ext>
          </a:extLst>
        </xdr:cNvPr>
        <xdr:cNvCxnSpPr/>
      </xdr:nvCxnSpPr>
      <xdr:spPr>
        <a:xfrm>
          <a:off x="2707005" y="11360524"/>
          <a:ext cx="0" cy="9155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431619</xdr:colOff>
      <xdr:row>62</xdr:row>
      <xdr:rowOff>167095</xdr:rowOff>
    </xdr:from>
    <xdr:to>
      <xdr:col>7</xdr:col>
      <xdr:colOff>2133505</xdr:colOff>
      <xdr:row>75</xdr:row>
      <xdr:rowOff>94593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189D26A2-74E7-43D1-B703-213780587A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52841"/>
        <a:stretch>
          <a:fillRect/>
        </a:stretch>
      </xdr:blipFill>
      <xdr:spPr>
        <a:xfrm>
          <a:off x="9453699" y="14340295"/>
          <a:ext cx="4727026" cy="2899298"/>
        </a:xfrm>
        <a:prstGeom prst="rect">
          <a:avLst/>
        </a:prstGeom>
      </xdr:spPr>
    </xdr:pic>
    <xdr:clientData/>
  </xdr:twoCellAnchor>
  <xdr:twoCellAnchor editAs="oneCell">
    <xdr:from>
      <xdr:col>6</xdr:col>
      <xdr:colOff>435159</xdr:colOff>
      <xdr:row>76</xdr:row>
      <xdr:rowOff>11429</xdr:rowOff>
    </xdr:from>
    <xdr:to>
      <xdr:col>7</xdr:col>
      <xdr:colOff>2136856</xdr:colOff>
      <xdr:row>87</xdr:row>
      <xdr:rowOff>60416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5520DAD2-A5E7-43EE-92C3-C8B229EED6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57239" y="17385029"/>
          <a:ext cx="4726837" cy="25635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CD4D1-475D-4814-B3C8-571B0679EF61}">
  <sheetPr>
    <pageSetUpPr fitToPage="1"/>
  </sheetPr>
  <dimension ref="A1:X87"/>
  <sheetViews>
    <sheetView tabSelected="1" topLeftCell="A7" zoomScale="70" zoomScaleNormal="70" workbookViewId="0">
      <selection activeCell="D40" sqref="D40"/>
    </sheetView>
  </sheetViews>
  <sheetFormatPr defaultRowHeight="18" x14ac:dyDescent="0.45"/>
  <cols>
    <col min="1" max="1" width="26.3984375" customWidth="1"/>
    <col min="2" max="2" width="13.8984375" customWidth="1"/>
    <col min="3" max="3" width="12.09765625" customWidth="1"/>
    <col min="4" max="4" width="32.69921875" customWidth="1"/>
    <col min="5" max="5" width="19.796875" customWidth="1"/>
    <col min="6" max="6" width="13.5" customWidth="1"/>
    <col min="7" max="7" width="39.69921875" customWidth="1"/>
    <col min="8" max="8" width="28.796875" customWidth="1"/>
    <col min="9" max="9" width="21.3984375" customWidth="1"/>
    <col min="10" max="10" width="22" customWidth="1"/>
    <col min="11" max="11" width="32.09765625" customWidth="1"/>
    <col min="12" max="12" width="29.59765625" customWidth="1"/>
    <col min="13" max="13" width="22.19921875" customWidth="1"/>
    <col min="14" max="14" width="21.59765625" customWidth="1"/>
    <col min="15" max="15" width="14.3984375" bestFit="1" customWidth="1"/>
    <col min="18" max="18" width="17.5" customWidth="1"/>
    <col min="20" max="20" width="10.8984375" customWidth="1"/>
    <col min="21" max="21" width="10.59765625" customWidth="1"/>
    <col min="22" max="22" width="10.19921875" customWidth="1"/>
  </cols>
  <sheetData>
    <row r="1" spans="1:14" x14ac:dyDescent="0.45">
      <c r="G1" s="3" t="s">
        <v>93</v>
      </c>
      <c r="H1" s="3" t="s">
        <v>95</v>
      </c>
      <c r="J1" s="3"/>
      <c r="K1" s="3"/>
      <c r="L1" s="3"/>
    </row>
    <row r="2" spans="1:14" x14ac:dyDescent="0.45">
      <c r="A2" s="4" t="s">
        <v>86</v>
      </c>
      <c r="B2" s="4"/>
      <c r="D2" s="4" t="s">
        <v>90</v>
      </c>
      <c r="E2" s="4"/>
      <c r="G2" s="4" t="s">
        <v>91</v>
      </c>
      <c r="H2" s="4"/>
      <c r="J2" s="3" t="s">
        <v>137</v>
      </c>
      <c r="K2" s="3"/>
      <c r="L2" s="3"/>
    </row>
    <row r="3" spans="1:14" x14ac:dyDescent="0.45">
      <c r="A3" s="4" t="s">
        <v>81</v>
      </c>
      <c r="B3" s="4">
        <v>200</v>
      </c>
      <c r="D3" s="4" t="s">
        <v>108</v>
      </c>
      <c r="E3" s="9">
        <v>0.2</v>
      </c>
      <c r="G3" s="4" t="s">
        <v>92</v>
      </c>
      <c r="H3" s="9" t="s">
        <v>94</v>
      </c>
      <c r="J3" s="3" t="s">
        <v>139</v>
      </c>
      <c r="K3" s="3"/>
      <c r="L3" s="3"/>
    </row>
    <row r="4" spans="1:14" x14ac:dyDescent="0.45">
      <c r="A4" s="4" t="s">
        <v>83</v>
      </c>
      <c r="B4" s="4">
        <v>100</v>
      </c>
      <c r="D4" s="4" t="s">
        <v>121</v>
      </c>
      <c r="E4" s="4">
        <f>E3*1000000/E6</f>
        <v>1.075268817204301</v>
      </c>
      <c r="G4" s="4" t="s">
        <v>122</v>
      </c>
      <c r="H4" s="9">
        <v>2.5000000000000001E-2</v>
      </c>
      <c r="J4" s="3" t="s">
        <v>14</v>
      </c>
      <c r="K4" s="3"/>
    </row>
    <row r="5" spans="1:14" x14ac:dyDescent="0.45">
      <c r="A5" s="4" t="s">
        <v>84</v>
      </c>
      <c r="B5" s="4">
        <v>100</v>
      </c>
      <c r="D5" s="4" t="s">
        <v>87</v>
      </c>
      <c r="E5" s="4">
        <v>25</v>
      </c>
      <c r="G5" s="4" t="s">
        <v>120</v>
      </c>
      <c r="H5" s="9">
        <v>400</v>
      </c>
      <c r="J5" s="3"/>
      <c r="K5" s="3"/>
      <c r="L5" s="3"/>
    </row>
    <row r="6" spans="1:14" x14ac:dyDescent="0.45">
      <c r="A6" s="4" t="s">
        <v>85</v>
      </c>
      <c r="B6" s="4">
        <f>B3/B4</f>
        <v>2</v>
      </c>
      <c r="D6" s="4" t="s">
        <v>88</v>
      </c>
      <c r="E6" s="4">
        <v>186000</v>
      </c>
      <c r="G6" s="4" t="s">
        <v>124</v>
      </c>
      <c r="H6" s="4">
        <f>H5*E4</f>
        <v>430.10752688172039</v>
      </c>
      <c r="J6" s="3"/>
    </row>
    <row r="7" spans="1:14" x14ac:dyDescent="0.45">
      <c r="A7" s="4" t="s">
        <v>106</v>
      </c>
      <c r="B7" s="4">
        <v>8</v>
      </c>
      <c r="D7" s="4" t="s">
        <v>89</v>
      </c>
      <c r="E7" s="4">
        <f>E3*B6</f>
        <v>0.4</v>
      </c>
      <c r="G7" s="4" t="s">
        <v>129</v>
      </c>
      <c r="H7" s="4">
        <f>H6*B6</f>
        <v>860.21505376344078</v>
      </c>
    </row>
    <row r="8" spans="1:14" x14ac:dyDescent="0.45">
      <c r="A8" s="4" t="s">
        <v>104</v>
      </c>
      <c r="B8" s="4">
        <f>B4*B7</f>
        <v>800</v>
      </c>
      <c r="D8" s="4" t="s">
        <v>123</v>
      </c>
      <c r="E8" s="4">
        <f>E7*1000000/E6</f>
        <v>2.150537634408602</v>
      </c>
      <c r="G8" s="4" t="s">
        <v>96</v>
      </c>
      <c r="H8" s="4">
        <f>L43</f>
        <v>1</v>
      </c>
    </row>
    <row r="9" spans="1:14" x14ac:dyDescent="0.25">
      <c r="F9" s="6"/>
    </row>
    <row r="11" spans="1:14" x14ac:dyDescent="0.25">
      <c r="E11" s="5" t="s">
        <v>159</v>
      </c>
    </row>
    <row r="12" spans="1:14" x14ac:dyDescent="0.25">
      <c r="A12" t="s">
        <v>72</v>
      </c>
      <c r="B12" t="s">
        <v>73</v>
      </c>
      <c r="C12">
        <v>30</v>
      </c>
      <c r="D12" t="s">
        <v>8</v>
      </c>
      <c r="E12" s="7" t="s">
        <v>97</v>
      </c>
      <c r="F12" s="8">
        <v>295.27</v>
      </c>
    </row>
    <row r="13" spans="1:14" x14ac:dyDescent="0.25">
      <c r="B13" t="s">
        <v>75</v>
      </c>
      <c r="C13">
        <v>100</v>
      </c>
      <c r="E13" s="7" t="s">
        <v>98</v>
      </c>
      <c r="F13" s="8">
        <v>142.19999999999999</v>
      </c>
    </row>
    <row r="14" spans="1:14" x14ac:dyDescent="0.25">
      <c r="E14" s="7" t="s">
        <v>99</v>
      </c>
      <c r="F14" s="8">
        <v>207.7</v>
      </c>
    </row>
    <row r="15" spans="1:14" x14ac:dyDescent="0.45">
      <c r="A15" s="2" t="s">
        <v>100</v>
      </c>
      <c r="B15" s="2" t="s">
        <v>69</v>
      </c>
      <c r="C15" s="2" t="s">
        <v>70</v>
      </c>
      <c r="D15" s="2" t="s">
        <v>71</v>
      </c>
      <c r="E15" s="2" t="s">
        <v>5</v>
      </c>
      <c r="F15" s="2" t="s">
        <v>154</v>
      </c>
      <c r="G15" s="2" t="s">
        <v>74</v>
      </c>
      <c r="H15" s="2" t="s">
        <v>76</v>
      </c>
      <c r="I15" s="2" t="s">
        <v>79</v>
      </c>
      <c r="J15" s="2" t="s">
        <v>78</v>
      </c>
      <c r="K15" s="2" t="s">
        <v>77</v>
      </c>
      <c r="L15" s="2" t="s">
        <v>101</v>
      </c>
      <c r="M15" s="2" t="s">
        <v>80</v>
      </c>
      <c r="N15" s="2" t="s">
        <v>102</v>
      </c>
    </row>
    <row r="16" spans="1:14" x14ac:dyDescent="0.45">
      <c r="A16" t="s">
        <v>0</v>
      </c>
      <c r="B16">
        <v>80</v>
      </c>
      <c r="C16">
        <v>4</v>
      </c>
      <c r="D16">
        <v>16</v>
      </c>
      <c r="E16">
        <v>100</v>
      </c>
      <c r="F16">
        <f t="shared" ref="F16:F28" si="0">B16/100*$F$12+C16/100*$F$13+D16/100*$F$14</f>
        <v>275.13599999999997</v>
      </c>
      <c r="G16">
        <f t="shared" ref="G16:G28" si="1">E16*F16</f>
        <v>27513.599999999999</v>
      </c>
      <c r="H16">
        <f t="shared" ref="H16:H28" si="2">L16/G16*1000000</f>
        <v>1090.3698534542916</v>
      </c>
      <c r="I16">
        <f t="shared" ref="I16:I28" si="3">H16/1000000*E16*B16/100*1000</f>
        <v>87.22958827634335</v>
      </c>
      <c r="J16">
        <f t="shared" ref="J16:J28" si="4">H16/1000000*E16*C16/100*1000</f>
        <v>4.3614794138171673</v>
      </c>
      <c r="K16">
        <f t="shared" ref="K16:K28" si="5">H16/1000000*E16*D16/100*1000</f>
        <v>17.445917655268669</v>
      </c>
      <c r="L16">
        <v>30</v>
      </c>
      <c r="M16" t="s">
        <v>160</v>
      </c>
      <c r="N16" t="s">
        <v>103</v>
      </c>
    </row>
    <row r="17" spans="1:14" x14ac:dyDescent="0.45">
      <c r="A17" t="s">
        <v>1</v>
      </c>
      <c r="B17">
        <v>80</v>
      </c>
      <c r="C17">
        <v>16</v>
      </c>
      <c r="D17">
        <v>4</v>
      </c>
      <c r="E17">
        <v>100</v>
      </c>
      <c r="F17">
        <f t="shared" si="0"/>
        <v>267.27600000000001</v>
      </c>
      <c r="G17">
        <f t="shared" si="1"/>
        <v>26727.600000000002</v>
      </c>
      <c r="H17">
        <f t="shared" si="2"/>
        <v>1122.4352354869122</v>
      </c>
      <c r="I17">
        <f t="shared" si="3"/>
        <v>89.794818838952978</v>
      </c>
      <c r="J17">
        <f t="shared" si="4"/>
        <v>17.958963767790596</v>
      </c>
      <c r="K17">
        <f t="shared" si="5"/>
        <v>4.4897409419476491</v>
      </c>
      <c r="L17">
        <v>30</v>
      </c>
      <c r="M17" t="s">
        <v>160</v>
      </c>
    </row>
    <row r="18" spans="1:14" x14ac:dyDescent="0.45">
      <c r="A18" t="s">
        <v>2</v>
      </c>
      <c r="B18">
        <v>30</v>
      </c>
      <c r="C18">
        <v>14</v>
      </c>
      <c r="D18">
        <v>56</v>
      </c>
      <c r="E18">
        <v>100</v>
      </c>
      <c r="F18">
        <f t="shared" si="0"/>
        <v>224.80099999999999</v>
      </c>
      <c r="G18">
        <f t="shared" si="1"/>
        <v>22480.1</v>
      </c>
      <c r="H18">
        <f t="shared" si="2"/>
        <v>1334.5136365051756</v>
      </c>
      <c r="I18">
        <f t="shared" si="3"/>
        <v>40.035409095155259</v>
      </c>
      <c r="J18">
        <f t="shared" si="4"/>
        <v>18.683190911072455</v>
      </c>
      <c r="K18">
        <f t="shared" si="5"/>
        <v>74.732763644289818</v>
      </c>
      <c r="L18">
        <v>30</v>
      </c>
      <c r="M18" t="s">
        <v>138</v>
      </c>
    </row>
    <row r="19" spans="1:14" x14ac:dyDescent="0.45">
      <c r="A19" t="s">
        <v>3</v>
      </c>
      <c r="B19">
        <v>30</v>
      </c>
      <c r="C19">
        <v>56</v>
      </c>
      <c r="D19">
        <v>14</v>
      </c>
      <c r="E19">
        <v>100</v>
      </c>
      <c r="F19">
        <f t="shared" si="0"/>
        <v>197.291</v>
      </c>
      <c r="G19">
        <f t="shared" si="1"/>
        <v>19729.099999999999</v>
      </c>
      <c r="H19">
        <f t="shared" si="2"/>
        <v>1520.5964793122851</v>
      </c>
      <c r="I19">
        <f t="shared" si="3"/>
        <v>45.617894379368551</v>
      </c>
      <c r="J19">
        <f t="shared" si="4"/>
        <v>85.153402841487946</v>
      </c>
      <c r="K19">
        <f t="shared" si="5"/>
        <v>21.288350710371986</v>
      </c>
      <c r="L19">
        <v>30</v>
      </c>
      <c r="M19" t="s">
        <v>138</v>
      </c>
    </row>
    <row r="20" spans="1:14" x14ac:dyDescent="0.45">
      <c r="A20" t="s">
        <v>4</v>
      </c>
      <c r="B20">
        <v>55</v>
      </c>
      <c r="C20">
        <v>22.5</v>
      </c>
      <c r="D20">
        <v>22.5</v>
      </c>
      <c r="E20">
        <v>100</v>
      </c>
      <c r="F20">
        <f t="shared" si="0"/>
        <v>241.12600000000003</v>
      </c>
      <c r="G20">
        <f t="shared" si="1"/>
        <v>24112.600000000002</v>
      </c>
      <c r="H20">
        <f t="shared" si="2"/>
        <v>1244.1628028499622</v>
      </c>
      <c r="I20">
        <f t="shared" si="3"/>
        <v>68.42895415674792</v>
      </c>
      <c r="J20">
        <f t="shared" si="4"/>
        <v>27.993663064124146</v>
      </c>
      <c r="K20">
        <f t="shared" si="5"/>
        <v>27.993663064124146</v>
      </c>
      <c r="L20">
        <v>30</v>
      </c>
      <c r="M20" t="s">
        <v>138</v>
      </c>
    </row>
    <row r="21" spans="1:14" x14ac:dyDescent="0.45">
      <c r="A21" t="s">
        <v>25</v>
      </c>
      <c r="B21">
        <v>100</v>
      </c>
      <c r="C21">
        <v>0</v>
      </c>
      <c r="D21">
        <v>0</v>
      </c>
      <c r="E21">
        <v>100</v>
      </c>
      <c r="F21">
        <f t="shared" si="0"/>
        <v>295.27</v>
      </c>
      <c r="G21">
        <f t="shared" si="1"/>
        <v>29527</v>
      </c>
      <c r="H21">
        <f t="shared" si="2"/>
        <v>1016.0192366308802</v>
      </c>
      <c r="I21">
        <f t="shared" si="3"/>
        <v>101.60192366308803</v>
      </c>
      <c r="J21">
        <f t="shared" si="4"/>
        <v>0</v>
      </c>
      <c r="K21">
        <f t="shared" si="5"/>
        <v>0</v>
      </c>
      <c r="L21">
        <v>30</v>
      </c>
      <c r="M21" t="s">
        <v>160</v>
      </c>
      <c r="N21" t="s">
        <v>103</v>
      </c>
    </row>
    <row r="22" spans="1:14" x14ac:dyDescent="0.45">
      <c r="A22" t="s">
        <v>26</v>
      </c>
      <c r="B22">
        <v>0</v>
      </c>
      <c r="C22">
        <v>0</v>
      </c>
      <c r="D22">
        <v>100</v>
      </c>
      <c r="E22">
        <v>100</v>
      </c>
      <c r="F22">
        <f t="shared" si="0"/>
        <v>207.7</v>
      </c>
      <c r="G22">
        <f t="shared" si="1"/>
        <v>20770</v>
      </c>
      <c r="H22">
        <f t="shared" si="2"/>
        <v>1444.3909484833896</v>
      </c>
      <c r="I22">
        <f t="shared" si="3"/>
        <v>0</v>
      </c>
      <c r="J22">
        <f t="shared" si="4"/>
        <v>0</v>
      </c>
      <c r="K22">
        <f t="shared" si="5"/>
        <v>144.43909484833895</v>
      </c>
      <c r="L22">
        <v>30</v>
      </c>
      <c r="M22" t="s">
        <v>138</v>
      </c>
    </row>
    <row r="23" spans="1:14" x14ac:dyDescent="0.45">
      <c r="A23" t="s">
        <v>65</v>
      </c>
      <c r="B23">
        <v>34.799999999999997</v>
      </c>
      <c r="C23">
        <v>44.3</v>
      </c>
      <c r="D23">
        <v>20.9</v>
      </c>
      <c r="E23">
        <v>100</v>
      </c>
      <c r="F23">
        <f t="shared" si="0"/>
        <v>209.15786</v>
      </c>
      <c r="G23">
        <f t="shared" si="1"/>
        <v>20915.786</v>
      </c>
      <c r="H23">
        <f t="shared" si="2"/>
        <v>1434.3233383627085</v>
      </c>
      <c r="I23">
        <f t="shared" si="3"/>
        <v>49.914452175022255</v>
      </c>
      <c r="J23">
        <f t="shared" si="4"/>
        <v>63.540523889467984</v>
      </c>
      <c r="K23">
        <f t="shared" si="5"/>
        <v>29.977357771780607</v>
      </c>
      <c r="L23">
        <v>30</v>
      </c>
      <c r="M23" t="s">
        <v>138</v>
      </c>
    </row>
    <row r="24" spans="1:14" x14ac:dyDescent="0.45">
      <c r="A24" t="s">
        <v>29</v>
      </c>
      <c r="B24">
        <v>12.3</v>
      </c>
      <c r="C24">
        <v>67.8</v>
      </c>
      <c r="D24">
        <v>19.899999999999999</v>
      </c>
      <c r="E24">
        <v>100</v>
      </c>
      <c r="F24">
        <f t="shared" si="0"/>
        <v>174.06210999999999</v>
      </c>
      <c r="G24">
        <f t="shared" si="1"/>
        <v>17406.210999999999</v>
      </c>
      <c r="H24">
        <f t="shared" si="2"/>
        <v>1723.5227126684838</v>
      </c>
      <c r="I24">
        <f t="shared" si="3"/>
        <v>21.199329365822351</v>
      </c>
      <c r="J24">
        <f t="shared" si="4"/>
        <v>116.85483991892319</v>
      </c>
      <c r="K24">
        <f t="shared" si="5"/>
        <v>34.298101982102828</v>
      </c>
      <c r="L24">
        <v>30</v>
      </c>
      <c r="M24" t="s">
        <v>138</v>
      </c>
    </row>
    <row r="25" spans="1:14" x14ac:dyDescent="0.45">
      <c r="A25" t="s">
        <v>30</v>
      </c>
      <c r="B25">
        <v>9.5</v>
      </c>
      <c r="C25">
        <v>75.2</v>
      </c>
      <c r="D25">
        <v>15.3</v>
      </c>
      <c r="E25">
        <v>100</v>
      </c>
      <c r="F25">
        <f t="shared" si="0"/>
        <v>166.76315</v>
      </c>
      <c r="G25">
        <f t="shared" si="1"/>
        <v>16676.314999999999</v>
      </c>
      <c r="H25">
        <f t="shared" si="2"/>
        <v>1798.9585828763732</v>
      </c>
      <c r="I25">
        <f t="shared" si="3"/>
        <v>17.090106537325543</v>
      </c>
      <c r="J25">
        <f t="shared" si="4"/>
        <v>135.28168543230325</v>
      </c>
      <c r="K25">
        <f t="shared" si="5"/>
        <v>27.524066318008508</v>
      </c>
      <c r="L25">
        <v>30</v>
      </c>
      <c r="M25" t="s">
        <v>138</v>
      </c>
    </row>
    <row r="26" spans="1:14" x14ac:dyDescent="0.45">
      <c r="A26" t="s">
        <v>68</v>
      </c>
      <c r="B26">
        <v>37.9</v>
      </c>
      <c r="C26">
        <v>53.3</v>
      </c>
      <c r="D26">
        <v>8.8000000000000007</v>
      </c>
      <c r="E26">
        <v>100</v>
      </c>
      <c r="F26">
        <f t="shared" si="0"/>
        <v>205.97752999999997</v>
      </c>
      <c r="G26">
        <f t="shared" si="1"/>
        <v>20597.752999999997</v>
      </c>
      <c r="H26">
        <f t="shared" si="2"/>
        <v>1456.4695479162219</v>
      </c>
      <c r="I26">
        <f t="shared" si="3"/>
        <v>55.200195866024806</v>
      </c>
      <c r="J26">
        <f t="shared" si="4"/>
        <v>77.629826903934614</v>
      </c>
      <c r="K26">
        <f t="shared" si="5"/>
        <v>12.816932021662753</v>
      </c>
      <c r="L26">
        <v>30</v>
      </c>
      <c r="M26" t="s">
        <v>138</v>
      </c>
    </row>
    <row r="27" spans="1:14" x14ac:dyDescent="0.45">
      <c r="A27" t="s">
        <v>31</v>
      </c>
      <c r="B27">
        <v>12.3</v>
      </c>
      <c r="C27">
        <v>34.4</v>
      </c>
      <c r="D27">
        <v>65.099999999999994</v>
      </c>
      <c r="E27">
        <v>100</v>
      </c>
      <c r="F27">
        <f t="shared" si="0"/>
        <v>220.44770999999997</v>
      </c>
      <c r="G27">
        <f t="shared" si="1"/>
        <v>22044.770999999997</v>
      </c>
      <c r="H27">
        <f t="shared" si="2"/>
        <v>1360.8669375608395</v>
      </c>
      <c r="I27">
        <f t="shared" si="3"/>
        <v>16.738663331998325</v>
      </c>
      <c r="J27">
        <f t="shared" si="4"/>
        <v>46.813822652092867</v>
      </c>
      <c r="K27">
        <f t="shared" si="5"/>
        <v>88.592437635210629</v>
      </c>
      <c r="L27">
        <v>30</v>
      </c>
      <c r="M27" t="s">
        <v>138</v>
      </c>
    </row>
    <row r="28" spans="1:14" x14ac:dyDescent="0.45">
      <c r="A28" t="s">
        <v>32</v>
      </c>
      <c r="B28">
        <v>37.299999999999997</v>
      </c>
      <c r="C28">
        <v>61.5</v>
      </c>
      <c r="D28">
        <v>1.2</v>
      </c>
      <c r="E28">
        <v>100</v>
      </c>
      <c r="F28">
        <f t="shared" si="0"/>
        <v>200.08111</v>
      </c>
      <c r="G28">
        <f t="shared" si="1"/>
        <v>20008.111000000001</v>
      </c>
      <c r="H28">
        <f t="shared" si="2"/>
        <v>1499.3919216061925</v>
      </c>
      <c r="I28">
        <f t="shared" si="3"/>
        <v>55.927318675910968</v>
      </c>
      <c r="J28">
        <f t="shared" si="4"/>
        <v>92.212603178780839</v>
      </c>
      <c r="K28">
        <f t="shared" si="5"/>
        <v>1.7992703059274309</v>
      </c>
      <c r="L28">
        <v>30</v>
      </c>
      <c r="M28" t="s">
        <v>138</v>
      </c>
    </row>
    <row r="33" spans="1:24" x14ac:dyDescent="0.45">
      <c r="A33" s="13" t="s">
        <v>105</v>
      </c>
      <c r="D33" s="15" t="s">
        <v>152</v>
      </c>
      <c r="R33" t="s">
        <v>153</v>
      </c>
    </row>
    <row r="34" spans="1:24" x14ac:dyDescent="0.45">
      <c r="A34" s="3" t="s">
        <v>141</v>
      </c>
      <c r="B34" s="3"/>
      <c r="C34" s="3"/>
      <c r="E34" s="3" t="s">
        <v>117</v>
      </c>
      <c r="F34" s="3"/>
      <c r="G34" s="3"/>
      <c r="H34" s="3" t="s">
        <v>145</v>
      </c>
      <c r="I34" s="3"/>
      <c r="J34" s="12" t="s">
        <v>144</v>
      </c>
      <c r="K34" s="3" t="s">
        <v>146</v>
      </c>
      <c r="L34" s="3"/>
      <c r="M34" s="3"/>
      <c r="N34" s="3" t="s">
        <v>146</v>
      </c>
      <c r="O34" s="3"/>
      <c r="P34" s="3"/>
      <c r="Q34" s="3"/>
      <c r="R34" s="16" t="s">
        <v>140</v>
      </c>
      <c r="S34" s="3">
        <f>F43</f>
        <v>0.43010752688172038</v>
      </c>
      <c r="T34" s="3"/>
      <c r="U34" s="3" t="s">
        <v>156</v>
      </c>
      <c r="V34" s="3"/>
      <c r="W34" s="3"/>
      <c r="X34" s="3"/>
    </row>
    <row r="35" spans="1:24" x14ac:dyDescent="0.45">
      <c r="A35" s="3" t="s">
        <v>151</v>
      </c>
      <c r="B35" s="3">
        <f>E5</f>
        <v>25</v>
      </c>
      <c r="C35" s="11" t="s">
        <v>147</v>
      </c>
      <c r="E35" s="3" t="s">
        <v>118</v>
      </c>
      <c r="F35" s="3">
        <f>I35*1000-F42</f>
        <v>990</v>
      </c>
      <c r="G35" s="3"/>
      <c r="H35" s="3" t="s">
        <v>107</v>
      </c>
      <c r="I35" s="3">
        <v>1</v>
      </c>
      <c r="J35" s="3"/>
      <c r="K35" s="3" t="s">
        <v>113</v>
      </c>
      <c r="L35" s="10">
        <v>20</v>
      </c>
      <c r="M35" s="3"/>
      <c r="N35" s="3" t="s">
        <v>82</v>
      </c>
      <c r="O35" s="3">
        <f>B4</f>
        <v>100</v>
      </c>
      <c r="P35" s="3"/>
      <c r="Q35" s="3"/>
      <c r="R35" s="3"/>
      <c r="S35" s="3" t="s">
        <v>130</v>
      </c>
      <c r="T35" s="3" t="s">
        <v>8</v>
      </c>
      <c r="U35" s="3" t="s">
        <v>135</v>
      </c>
      <c r="V35" s="3" t="s">
        <v>136</v>
      </c>
      <c r="W35" s="3" t="s">
        <v>137</v>
      </c>
      <c r="X35" s="3"/>
    </row>
    <row r="36" spans="1:24" x14ac:dyDescent="0.45">
      <c r="A36" t="s">
        <v>148</v>
      </c>
      <c r="B36">
        <f>F36*D38/B35</f>
        <v>1.6161616161616164</v>
      </c>
      <c r="C36" s="3"/>
      <c r="E36" s="3" t="s">
        <v>143</v>
      </c>
      <c r="F36" s="3">
        <f>F37/F35*1000</f>
        <v>2.0202020202020203</v>
      </c>
      <c r="G36" s="3"/>
      <c r="H36" s="3" t="str">
        <f>K36</f>
        <v>C_GOx_heat_enzmix (μg/mL)</v>
      </c>
      <c r="I36" s="3">
        <f>L36</f>
        <v>2</v>
      </c>
      <c r="J36" s="3"/>
      <c r="K36" s="3" t="s">
        <v>114</v>
      </c>
      <c r="L36" s="3">
        <f>L37/L35*1000</f>
        <v>2</v>
      </c>
      <c r="M36" s="3"/>
      <c r="N36" s="3" t="s">
        <v>89</v>
      </c>
      <c r="O36" s="3">
        <f>E7</f>
        <v>0.4</v>
      </c>
      <c r="P36" s="3"/>
      <c r="Q36" s="3"/>
      <c r="R36" s="3" t="s">
        <v>0</v>
      </c>
      <c r="S36" s="3">
        <v>27513.599999999999</v>
      </c>
      <c r="T36" s="3">
        <f t="shared" ref="T36:T48" si="6">$S$34/1000*S36</f>
        <v>11.833806451612901</v>
      </c>
      <c r="U36" s="10">
        <v>5.6</v>
      </c>
      <c r="V36" s="3">
        <f>U36/T36</f>
        <v>0.47322051639916268</v>
      </c>
      <c r="W36" s="3" t="str">
        <f t="shared" ref="W36:W48" si="7">M16</f>
        <v>EtOH</v>
      </c>
      <c r="X36" s="3"/>
    </row>
    <row r="37" spans="1:24" x14ac:dyDescent="0.45">
      <c r="D37" s="14" t="s">
        <v>150</v>
      </c>
      <c r="E37" s="3" t="str">
        <f>H37</f>
        <v>W_GOx_heat (μg)</v>
      </c>
      <c r="F37" s="3">
        <f>I37</f>
        <v>2</v>
      </c>
      <c r="G37" s="3"/>
      <c r="H37" s="3" t="s">
        <v>119</v>
      </c>
      <c r="I37" s="3">
        <f>L37*I35*1000/L35</f>
        <v>2</v>
      </c>
      <c r="J37" s="3"/>
      <c r="K37" s="3" t="str">
        <f>N37</f>
        <v>GOx_enzmix (μg)</v>
      </c>
      <c r="L37" s="3">
        <f>O37</f>
        <v>0.04</v>
      </c>
      <c r="M37" s="3"/>
      <c r="N37" s="3" t="s">
        <v>109</v>
      </c>
      <c r="O37" s="3">
        <f>O36*O35/1000</f>
        <v>0.04</v>
      </c>
      <c r="P37" s="3"/>
      <c r="Q37" s="3"/>
      <c r="R37" s="3" t="s">
        <v>1</v>
      </c>
      <c r="S37" s="3">
        <v>26727.600000000002</v>
      </c>
      <c r="T37" s="3">
        <f t="shared" si="6"/>
        <v>11.495741935483871</v>
      </c>
      <c r="U37" s="10">
        <v>6.9</v>
      </c>
      <c r="V37" s="3">
        <f>U37/T37</f>
        <v>0.60022224217662645</v>
      </c>
      <c r="W37" s="3" t="str">
        <f t="shared" si="7"/>
        <v>EtOH</v>
      </c>
      <c r="X37" s="3"/>
    </row>
    <row r="38" spans="1:24" x14ac:dyDescent="0.45">
      <c r="A38" s="3"/>
      <c r="B38" s="3"/>
      <c r="D38" s="14">
        <v>20</v>
      </c>
      <c r="G38" s="3"/>
      <c r="H38" s="3" t="str">
        <f>K38</f>
        <v>[GOx]_heat_enzmix (nM)</v>
      </c>
      <c r="I38" s="3">
        <f>L38</f>
        <v>10.75268817204301</v>
      </c>
      <c r="J38" s="3"/>
      <c r="K38" s="3" t="s">
        <v>132</v>
      </c>
      <c r="L38" s="3">
        <f>L36*1000000/E6</f>
        <v>10.75268817204301</v>
      </c>
      <c r="M38" s="3"/>
      <c r="N38" s="3" t="s">
        <v>129</v>
      </c>
      <c r="O38" s="3">
        <f>H7</f>
        <v>860.21505376344078</v>
      </c>
      <c r="P38" s="3"/>
      <c r="Q38" s="3"/>
      <c r="R38" s="3" t="s">
        <v>2</v>
      </c>
      <c r="S38" s="3">
        <v>22480.1</v>
      </c>
      <c r="T38" s="3">
        <f t="shared" si="6"/>
        <v>9.6688602150537619</v>
      </c>
      <c r="U38" s="10">
        <v>8.1</v>
      </c>
      <c r="V38" s="3">
        <f t="shared" ref="V38:V48" si="8">U38/T38</f>
        <v>0.83774093531612415</v>
      </c>
      <c r="W38" s="3" t="str">
        <f t="shared" si="7"/>
        <v>DMSO</v>
      </c>
      <c r="X38" s="3"/>
    </row>
    <row r="39" spans="1:24" x14ac:dyDescent="0.45">
      <c r="A39" s="3"/>
      <c r="B39" s="3"/>
      <c r="C39" s="3"/>
      <c r="E39" s="3"/>
      <c r="F39" s="3"/>
      <c r="G39" s="3"/>
      <c r="H39" s="3" t="str">
        <f>K39</f>
        <v>[Poly]_heat_enzmix (μM)</v>
      </c>
      <c r="I39" s="3">
        <f>L39</f>
        <v>4.301075268817204</v>
      </c>
      <c r="J39" s="3"/>
      <c r="K39" s="3" t="s">
        <v>125</v>
      </c>
      <c r="L39" s="3">
        <f>O38*O35/L35/1000</f>
        <v>4.301075268817204</v>
      </c>
      <c r="M39" s="3"/>
      <c r="N39" s="3" t="s">
        <v>128</v>
      </c>
      <c r="O39" s="3">
        <f>O41*O35/1000</f>
        <v>1.6971268817204297</v>
      </c>
      <c r="P39" s="3"/>
      <c r="Q39" s="3"/>
      <c r="R39" s="3" t="s">
        <v>3</v>
      </c>
      <c r="S39" s="3">
        <v>19729.099999999999</v>
      </c>
      <c r="T39" s="3">
        <f t="shared" si="6"/>
        <v>8.4856344086021487</v>
      </c>
      <c r="U39" s="10">
        <v>7.9</v>
      </c>
      <c r="V39" s="3">
        <f t="shared" si="8"/>
        <v>0.93098519445894667</v>
      </c>
      <c r="W39" s="3" t="str">
        <f t="shared" si="7"/>
        <v>DMSO</v>
      </c>
      <c r="X39" s="3"/>
    </row>
    <row r="40" spans="1:24" x14ac:dyDescent="0.45">
      <c r="A40" s="3" t="s">
        <v>149</v>
      </c>
      <c r="B40" s="3">
        <f>D38-B36</f>
        <v>18.383838383838384</v>
      </c>
      <c r="C40" s="3"/>
      <c r="E40" s="3"/>
      <c r="F40" s="3"/>
      <c r="G40" s="3"/>
      <c r="H40" s="3" t="s">
        <v>126</v>
      </c>
      <c r="I40" s="3">
        <f>L40*I35*1000/L35</f>
        <v>84.856344086021494</v>
      </c>
      <c r="J40" s="3"/>
      <c r="K40" s="3" t="s">
        <v>128</v>
      </c>
      <c r="L40" s="3">
        <f>O39</f>
        <v>1.6971268817204297</v>
      </c>
      <c r="M40" s="3"/>
      <c r="N40" s="3" t="s">
        <v>130</v>
      </c>
      <c r="O40" s="10">
        <v>19729.099999999999</v>
      </c>
      <c r="P40" s="3"/>
      <c r="Q40" s="3"/>
      <c r="R40" s="3" t="s">
        <v>4</v>
      </c>
      <c r="S40" s="3">
        <v>24112.600000000002</v>
      </c>
      <c r="T40" s="3">
        <f t="shared" si="6"/>
        <v>10.371010752688171</v>
      </c>
      <c r="U40" s="10">
        <v>10.7</v>
      </c>
      <c r="V40" s="3">
        <f t="shared" si="8"/>
        <v>1.0317220042633313</v>
      </c>
      <c r="W40" s="3" t="str">
        <f t="shared" si="7"/>
        <v>DMSO</v>
      </c>
      <c r="X40" s="3"/>
    </row>
    <row r="41" spans="1:24" x14ac:dyDescent="0.45">
      <c r="A41" s="3"/>
      <c r="B41" s="3"/>
      <c r="C41" s="3"/>
      <c r="D41" s="3"/>
      <c r="E41" s="3" t="s">
        <v>115</v>
      </c>
      <c r="F41" s="3"/>
      <c r="G41" s="3"/>
      <c r="H41" s="3" t="str">
        <f>K41</f>
        <v>C_Poly_heat_enzmix (mg/mL)</v>
      </c>
      <c r="I41" s="3">
        <f>L41</f>
        <v>8.4856344086021482E-2</v>
      </c>
      <c r="J41" s="3"/>
      <c r="K41" s="3" t="s">
        <v>131</v>
      </c>
      <c r="L41" s="3">
        <f>L39/1000000*O40</f>
        <v>8.4856344086021482E-2</v>
      </c>
      <c r="M41" s="3"/>
      <c r="N41" s="3" t="s">
        <v>142</v>
      </c>
      <c r="O41" s="3">
        <f>O38/1000000000*O40*1000</f>
        <v>16.971268817204297</v>
      </c>
      <c r="P41" s="3"/>
      <c r="Q41" s="3"/>
      <c r="R41" s="3" t="s">
        <v>25</v>
      </c>
      <c r="S41" s="3">
        <v>29527</v>
      </c>
      <c r="T41" s="3">
        <f t="shared" si="6"/>
        <v>12.699784946236557</v>
      </c>
      <c r="U41" s="10">
        <v>6.4</v>
      </c>
      <c r="V41" s="3">
        <f t="shared" si="8"/>
        <v>0.50394554136891667</v>
      </c>
      <c r="W41" s="3" t="str">
        <f t="shared" si="7"/>
        <v>EtOH</v>
      </c>
      <c r="X41" s="3"/>
    </row>
    <row r="42" spans="1:24" x14ac:dyDescent="0.45">
      <c r="A42" s="3"/>
      <c r="B42" s="3"/>
      <c r="C42" s="3"/>
      <c r="D42" s="3"/>
      <c r="E42" s="3" t="s">
        <v>116</v>
      </c>
      <c r="F42" s="10">
        <v>10</v>
      </c>
      <c r="G42" s="3"/>
      <c r="H42" s="3" t="s">
        <v>110</v>
      </c>
      <c r="I42" s="3">
        <f>I35*I43/100*1000</f>
        <v>10</v>
      </c>
      <c r="J42" s="3"/>
      <c r="K42" s="3" t="s">
        <v>110</v>
      </c>
      <c r="L42" s="3">
        <f>L35*L43/100</f>
        <v>0.2</v>
      </c>
      <c r="M42" s="3"/>
      <c r="N42" s="3"/>
      <c r="O42" s="3"/>
      <c r="P42" s="3"/>
      <c r="Q42" s="3"/>
      <c r="R42" s="3" t="s">
        <v>26</v>
      </c>
      <c r="S42" s="3">
        <v>20770</v>
      </c>
      <c r="T42" s="3">
        <f t="shared" si="6"/>
        <v>8.9333333333333318</v>
      </c>
      <c r="U42" s="10">
        <v>7</v>
      </c>
      <c r="V42" s="3">
        <f t="shared" si="8"/>
        <v>0.78358208955223896</v>
      </c>
      <c r="W42" s="3" t="str">
        <f t="shared" si="7"/>
        <v>DMSO</v>
      </c>
      <c r="X42" s="3"/>
    </row>
    <row r="43" spans="1:24" x14ac:dyDescent="0.45">
      <c r="A43" t="s">
        <v>6</v>
      </c>
      <c r="B43">
        <v>1.4</v>
      </c>
      <c r="D43" s="3"/>
      <c r="E43" s="3" t="s">
        <v>134</v>
      </c>
      <c r="F43" s="3">
        <f>I39/1000*I35*1000/F42</f>
        <v>0.43010752688172038</v>
      </c>
      <c r="G43" s="3"/>
      <c r="H43" s="3" t="str">
        <f>K43</f>
        <v>organic_solvent (%)</v>
      </c>
      <c r="I43" s="3">
        <f>F42/I35/1000*100</f>
        <v>1</v>
      </c>
      <c r="J43" s="3"/>
      <c r="K43" s="3" t="s">
        <v>111</v>
      </c>
      <c r="L43" s="3">
        <f>I43</f>
        <v>1</v>
      </c>
      <c r="M43" s="3"/>
      <c r="N43" s="3" t="s">
        <v>110</v>
      </c>
      <c r="O43" s="3">
        <f>O35*O44/100</f>
        <v>0.2</v>
      </c>
      <c r="P43" s="3"/>
      <c r="Q43" s="3"/>
      <c r="R43" s="3" t="s">
        <v>65</v>
      </c>
      <c r="S43" s="3">
        <v>20915.786</v>
      </c>
      <c r="T43" s="3">
        <f t="shared" si="6"/>
        <v>8.99603698924731</v>
      </c>
      <c r="U43" s="10">
        <v>6.7</v>
      </c>
      <c r="V43" s="3">
        <f t="shared" si="8"/>
        <v>0.74477239344483648</v>
      </c>
      <c r="W43" s="3" t="str">
        <f t="shared" si="7"/>
        <v>DMSO</v>
      </c>
      <c r="X43" s="3"/>
    </row>
    <row r="44" spans="1:24" x14ac:dyDescent="0.45">
      <c r="A44" t="s">
        <v>24</v>
      </c>
      <c r="B44">
        <f>B43/B46</f>
        <v>2.8</v>
      </c>
      <c r="D44" s="3"/>
      <c r="E44" s="3" t="str">
        <f>H40</f>
        <v>W_Poly_heattube (μg)</v>
      </c>
      <c r="F44" s="3">
        <f>I40</f>
        <v>84.856344086021494</v>
      </c>
      <c r="G44" s="3"/>
      <c r="H44" s="3"/>
      <c r="I44" s="3"/>
      <c r="J44" s="3"/>
      <c r="M44" s="3"/>
      <c r="N44" s="3" t="s">
        <v>111</v>
      </c>
      <c r="O44" s="3">
        <f>L43*L35/O35</f>
        <v>0.2</v>
      </c>
      <c r="P44" s="3"/>
      <c r="Q44" s="3"/>
      <c r="R44" s="3" t="s">
        <v>29</v>
      </c>
      <c r="S44" s="3">
        <v>17406.210999999999</v>
      </c>
      <c r="T44" s="3">
        <f t="shared" si="6"/>
        <v>7.4865423655913963</v>
      </c>
      <c r="U44" s="10">
        <v>6.9</v>
      </c>
      <c r="V44" s="3">
        <f t="shared" si="8"/>
        <v>0.92165377059947184</v>
      </c>
      <c r="W44" s="3" t="str">
        <f t="shared" si="7"/>
        <v>DMSO</v>
      </c>
      <c r="X44" s="3"/>
    </row>
    <row r="45" spans="1:24" x14ac:dyDescent="0.45">
      <c r="D45" s="3"/>
      <c r="E45" s="3" t="s">
        <v>127</v>
      </c>
      <c r="F45" s="3">
        <f>F44/F42</f>
        <v>8.4856344086021487</v>
      </c>
      <c r="G45" s="3"/>
      <c r="H45" s="3" t="s">
        <v>133</v>
      </c>
      <c r="I45" s="3">
        <f>I39*1000/I38</f>
        <v>400</v>
      </c>
      <c r="J45" s="3"/>
      <c r="M45" s="3"/>
      <c r="N45" s="3"/>
      <c r="O45" s="3"/>
      <c r="P45" s="3"/>
      <c r="Q45" s="3"/>
      <c r="R45" s="3" t="s">
        <v>30</v>
      </c>
      <c r="S45" s="3">
        <v>16676.314999999999</v>
      </c>
      <c r="T45" s="3">
        <f t="shared" si="6"/>
        <v>7.172608602150536</v>
      </c>
      <c r="U45" s="10">
        <v>6.5</v>
      </c>
      <c r="V45" s="3">
        <f t="shared" si="8"/>
        <v>0.90622538612397308</v>
      </c>
      <c r="W45" s="3" t="str">
        <f t="shared" si="7"/>
        <v>DMSO</v>
      </c>
      <c r="X45" s="3"/>
    </row>
    <row r="46" spans="1:24" x14ac:dyDescent="0.45">
      <c r="B46">
        <v>0.5</v>
      </c>
      <c r="C46" t="s">
        <v>23</v>
      </c>
      <c r="D46" s="3"/>
      <c r="E46" s="3"/>
      <c r="F46" s="3">
        <f>F43/1000*O40</f>
        <v>8.4856344086021487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 t="s">
        <v>68</v>
      </c>
      <c r="S46" s="3">
        <v>20597.752999999997</v>
      </c>
      <c r="T46" s="3">
        <f t="shared" si="6"/>
        <v>8.8592486021505348</v>
      </c>
      <c r="U46" s="10">
        <v>6.1</v>
      </c>
      <c r="V46" s="3">
        <f t="shared" si="8"/>
        <v>0.68854597877739399</v>
      </c>
      <c r="W46" s="3" t="str">
        <f t="shared" si="7"/>
        <v>DMSO</v>
      </c>
      <c r="X46" s="3"/>
    </row>
    <row r="47" spans="1:24" x14ac:dyDescent="0.45"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 t="s">
        <v>31</v>
      </c>
      <c r="S47" s="3">
        <v>22044.770999999997</v>
      </c>
      <c r="T47" s="3">
        <f t="shared" si="6"/>
        <v>9.4816219354838687</v>
      </c>
      <c r="U47" s="10">
        <v>7.9</v>
      </c>
      <c r="V47" s="3">
        <f t="shared" si="8"/>
        <v>0.83319078252162404</v>
      </c>
      <c r="W47" s="3" t="str">
        <f t="shared" si="7"/>
        <v>DMSO</v>
      </c>
      <c r="X47" s="3"/>
    </row>
    <row r="48" spans="1:24" x14ac:dyDescent="0.45">
      <c r="E48" s="3"/>
      <c r="F48" s="3"/>
      <c r="G48" s="3"/>
      <c r="H48" s="3"/>
      <c r="I48" s="3"/>
      <c r="J48" s="3"/>
      <c r="K48" s="3" t="s">
        <v>112</v>
      </c>
      <c r="L48" s="3">
        <f>O35-L35</f>
        <v>80</v>
      </c>
      <c r="M48" s="3"/>
      <c r="N48" s="3"/>
      <c r="O48" s="3"/>
      <c r="P48" s="3"/>
      <c r="Q48" s="3"/>
      <c r="R48" s="3" t="s">
        <v>32</v>
      </c>
      <c r="S48" s="3">
        <v>20008.111000000001</v>
      </c>
      <c r="T48" s="3">
        <f t="shared" si="6"/>
        <v>8.6056391397849463</v>
      </c>
      <c r="U48" s="10">
        <v>7.8</v>
      </c>
      <c r="V48" s="3">
        <f t="shared" si="8"/>
        <v>0.90638241661094343</v>
      </c>
      <c r="W48" s="3" t="str">
        <f t="shared" si="7"/>
        <v>DMSO</v>
      </c>
      <c r="X48" s="3"/>
    </row>
    <row r="49" spans="1:24" x14ac:dyDescent="0.45">
      <c r="A49">
        <v>0.5</v>
      </c>
      <c r="B49" t="s">
        <v>11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x14ac:dyDescent="0.45">
      <c r="A50" t="s">
        <v>24</v>
      </c>
      <c r="B50">
        <v>9.5</v>
      </c>
      <c r="C50" t="s">
        <v>22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x14ac:dyDescent="0.45">
      <c r="K51" t="s">
        <v>155</v>
      </c>
      <c r="L51" t="s">
        <v>27</v>
      </c>
      <c r="M51" t="s">
        <v>28</v>
      </c>
      <c r="N51" t="s">
        <v>12</v>
      </c>
      <c r="O51" t="s">
        <v>7</v>
      </c>
    </row>
    <row r="52" spans="1:24" x14ac:dyDescent="0.45">
      <c r="K52">
        <v>40</v>
      </c>
      <c r="L52">
        <v>5</v>
      </c>
      <c r="M52">
        <v>5</v>
      </c>
      <c r="N52">
        <v>4.95</v>
      </c>
      <c r="O52">
        <v>10</v>
      </c>
    </row>
    <row r="54" spans="1:24" x14ac:dyDescent="0.45">
      <c r="K54">
        <f t="shared" ref="K54:N54" si="9">K52*4</f>
        <v>160</v>
      </c>
      <c r="L54">
        <f t="shared" si="9"/>
        <v>20</v>
      </c>
      <c r="M54">
        <f t="shared" si="9"/>
        <v>20</v>
      </c>
      <c r="N54">
        <f t="shared" si="9"/>
        <v>19.8</v>
      </c>
      <c r="O54">
        <f>O52*4</f>
        <v>40</v>
      </c>
    </row>
    <row r="55" spans="1:24" x14ac:dyDescent="0.45">
      <c r="A55" t="s">
        <v>16</v>
      </c>
      <c r="B55">
        <f>B35/1000</f>
        <v>2.5000000000000001E-2</v>
      </c>
      <c r="C55" t="s">
        <v>23</v>
      </c>
      <c r="N55">
        <f>N54/4</f>
        <v>4.95</v>
      </c>
    </row>
    <row r="56" spans="1:24" x14ac:dyDescent="0.45">
      <c r="K56" t="s">
        <v>17</v>
      </c>
      <c r="L56" t="s">
        <v>20</v>
      </c>
    </row>
    <row r="57" spans="1:24" x14ac:dyDescent="0.45">
      <c r="K57" t="s">
        <v>18</v>
      </c>
      <c r="L57" t="s">
        <v>21</v>
      </c>
      <c r="M57" s="1">
        <v>69.400000000000006</v>
      </c>
      <c r="N57" t="s">
        <v>9</v>
      </c>
    </row>
    <row r="58" spans="1:24" x14ac:dyDescent="0.45">
      <c r="A58" t="s">
        <v>37</v>
      </c>
      <c r="B58" t="s">
        <v>157</v>
      </c>
      <c r="D58" t="s">
        <v>158</v>
      </c>
      <c r="E58">
        <v>0.35</v>
      </c>
      <c r="G58" t="s">
        <v>33</v>
      </c>
      <c r="H58" t="s">
        <v>34</v>
      </c>
      <c r="K58" t="s">
        <v>19</v>
      </c>
      <c r="L58" t="s">
        <v>19</v>
      </c>
      <c r="M58">
        <f>M57/M59</f>
        <v>38.555555555555557</v>
      </c>
      <c r="N58" t="s">
        <v>10</v>
      </c>
      <c r="O58">
        <f>M58/8</f>
        <v>4.8194444444444446</v>
      </c>
    </row>
    <row r="59" spans="1:24" x14ac:dyDescent="0.45">
      <c r="H59" t="s">
        <v>35</v>
      </c>
      <c r="M59">
        <v>1.8</v>
      </c>
      <c r="N59" t="s">
        <v>8</v>
      </c>
    </row>
    <row r="60" spans="1:24" x14ac:dyDescent="0.45">
      <c r="A60" t="s">
        <v>46</v>
      </c>
      <c r="H60" t="s">
        <v>36</v>
      </c>
    </row>
    <row r="61" spans="1:24" x14ac:dyDescent="0.45">
      <c r="A61" t="s">
        <v>47</v>
      </c>
      <c r="B61">
        <v>200</v>
      </c>
      <c r="C61">
        <v>700</v>
      </c>
    </row>
    <row r="62" spans="1:24" x14ac:dyDescent="0.45">
      <c r="A62" t="s">
        <v>48</v>
      </c>
      <c r="B62">
        <v>100</v>
      </c>
      <c r="C62" t="s">
        <v>49</v>
      </c>
      <c r="G62" t="s">
        <v>15</v>
      </c>
      <c r="H62" t="s">
        <v>39</v>
      </c>
    </row>
    <row r="64" spans="1:24" x14ac:dyDescent="0.45">
      <c r="A64" t="s">
        <v>50</v>
      </c>
    </row>
    <row r="65" spans="1:13" x14ac:dyDescent="0.45">
      <c r="A65" t="s">
        <v>47</v>
      </c>
      <c r="B65">
        <v>200</v>
      </c>
      <c r="C65">
        <v>340</v>
      </c>
      <c r="D65" t="s">
        <v>54</v>
      </c>
    </row>
    <row r="66" spans="1:13" x14ac:dyDescent="0.45">
      <c r="A66" t="s">
        <v>48</v>
      </c>
      <c r="B66">
        <v>400</v>
      </c>
      <c r="C66" t="s">
        <v>49</v>
      </c>
    </row>
    <row r="68" spans="1:13" x14ac:dyDescent="0.45">
      <c r="A68" t="s">
        <v>57</v>
      </c>
      <c r="B68" t="s">
        <v>62</v>
      </c>
    </row>
    <row r="69" spans="1:13" x14ac:dyDescent="0.45">
      <c r="A69" t="s">
        <v>60</v>
      </c>
      <c r="B69">
        <v>780</v>
      </c>
      <c r="C69" t="s">
        <v>13</v>
      </c>
      <c r="M69" t="s">
        <v>45</v>
      </c>
    </row>
    <row r="70" spans="1:13" x14ac:dyDescent="0.45">
      <c r="A70" t="s">
        <v>61</v>
      </c>
      <c r="B70">
        <v>780</v>
      </c>
      <c r="C70" t="s">
        <v>13</v>
      </c>
    </row>
    <row r="74" spans="1:13" x14ac:dyDescent="0.45">
      <c r="A74" t="s">
        <v>64</v>
      </c>
      <c r="B74">
        <v>0.421178</v>
      </c>
      <c r="C74" t="s">
        <v>44</v>
      </c>
      <c r="E74" t="s">
        <v>67</v>
      </c>
      <c r="F74">
        <f>A80/B77</f>
        <v>0.83100256898508462</v>
      </c>
    </row>
    <row r="75" spans="1:13" x14ac:dyDescent="0.45">
      <c r="A75" t="s">
        <v>38</v>
      </c>
      <c r="B75">
        <f>E58</f>
        <v>0.35</v>
      </c>
    </row>
    <row r="76" spans="1:13" x14ac:dyDescent="0.45">
      <c r="I76" t="s">
        <v>51</v>
      </c>
    </row>
    <row r="77" spans="1:13" x14ac:dyDescent="0.45">
      <c r="A77" t="s">
        <v>40</v>
      </c>
      <c r="B77">
        <f>B74/B75</f>
        <v>1.2033657142857144</v>
      </c>
      <c r="I77" t="s">
        <v>52</v>
      </c>
      <c r="K77" t="s">
        <v>59</v>
      </c>
    </row>
    <row r="78" spans="1:13" x14ac:dyDescent="0.45">
      <c r="I78" t="s">
        <v>53</v>
      </c>
      <c r="K78" t="s">
        <v>58</v>
      </c>
    </row>
    <row r="79" spans="1:13" x14ac:dyDescent="0.45">
      <c r="A79" t="s">
        <v>41</v>
      </c>
      <c r="C79" t="s">
        <v>12</v>
      </c>
      <c r="E79" t="s">
        <v>66</v>
      </c>
    </row>
    <row r="80" spans="1:13" x14ac:dyDescent="0.45">
      <c r="A80">
        <v>1</v>
      </c>
      <c r="B80" t="s">
        <v>42</v>
      </c>
      <c r="C80">
        <f>B77-A80</f>
        <v>0.20336571428571437</v>
      </c>
      <c r="D80" t="s">
        <v>43</v>
      </c>
      <c r="E80">
        <f>C80+A80</f>
        <v>1.2033657142857144</v>
      </c>
    </row>
    <row r="83" spans="1:9" x14ac:dyDescent="0.45">
      <c r="A83" t="s">
        <v>33</v>
      </c>
      <c r="B83" t="s">
        <v>34</v>
      </c>
      <c r="I83" t="s">
        <v>55</v>
      </c>
    </row>
    <row r="84" spans="1:9" x14ac:dyDescent="0.45">
      <c r="B84" t="s">
        <v>35</v>
      </c>
      <c r="I84" t="s">
        <v>56</v>
      </c>
    </row>
    <row r="85" spans="1:9" x14ac:dyDescent="0.45">
      <c r="B85" t="s">
        <v>36</v>
      </c>
    </row>
    <row r="87" spans="1:9" x14ac:dyDescent="0.45">
      <c r="A87" t="s">
        <v>15</v>
      </c>
      <c r="B87" t="s">
        <v>39</v>
      </c>
      <c r="I87" t="s">
        <v>63</v>
      </c>
    </row>
  </sheetData>
  <phoneticPr fontId="1"/>
  <dataValidations count="3">
    <dataValidation type="list" allowBlank="1" showInputMessage="1" showErrorMessage="1" sqref="M16:M32" xr:uid="{5409C8AA-A926-45B1-8C47-AD839D942694}">
      <formula1>$J$3:$J$4</formula1>
    </dataValidation>
    <dataValidation type="list" allowBlank="1" showInputMessage="1" showErrorMessage="1" sqref="O40" xr:uid="{2CB05721-072C-45F1-9E0B-D33C2F155117}">
      <formula1>$S$36:$S$48</formula1>
    </dataValidation>
    <dataValidation type="list" allowBlank="1" showInputMessage="1" showErrorMessage="1" sqref="H3" xr:uid="{F44F7B70-AC6F-4423-A7DC-E423E4717C3C}">
      <formula1>$G$1:$H$1</formula1>
    </dataValidation>
  </dataValidations>
  <pageMargins left="0.25" right="0.25" top="0.75" bottom="0.75" header="0.3" footer="0.3"/>
  <pageSetup paperSize="9" scale="3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26213_ポリマー濃度_chain400</vt:lpstr>
      <vt:lpstr>'26213_ポリマー濃度_chain400'!基本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須藤　駿哉</dc:creator>
  <cp:lastModifiedBy>須藤　駿哉</cp:lastModifiedBy>
  <cp:lastPrinted>2026-02-12T08:48:34Z</cp:lastPrinted>
  <dcterms:created xsi:type="dcterms:W3CDTF">2025-07-01T11:05:51Z</dcterms:created>
  <dcterms:modified xsi:type="dcterms:W3CDTF">2026-02-13T08:40:44Z</dcterms:modified>
</cp:coreProperties>
</file>